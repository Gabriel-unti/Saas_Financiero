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oreria01\Documents\CONTABILIDAD\"/>
    </mc:Choice>
  </mc:AlternateContent>
  <xr:revisionPtr revIDLastSave="0" documentId="13_ncr:1_{58FC4C18-501A-40DD-95F8-6572032F6567}" xr6:coauthVersionLast="47" xr6:coauthVersionMax="47" xr10:uidLastSave="{00000000-0000-0000-0000-000000000000}"/>
  <bookViews>
    <workbookView xWindow="-28920" yWindow="-120" windowWidth="29040" windowHeight="15720" xr2:uid="{132F2872-1AC2-4C4A-AF13-7BD62B8DA34D}"/>
  </bookViews>
  <sheets>
    <sheet name="Pendiente_pago" sheetId="1" r:id="rId1"/>
    <sheet name="Pendiente_comprobante" sheetId="2" r:id="rId2"/>
    <sheet name="Obs" sheetId="3" r:id="rId3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7" i="3" l="1"/>
  <c r="F17" i="3"/>
  <c r="G53" i="2"/>
  <c r="F53" i="2"/>
  <c r="G69" i="1"/>
  <c r="F69" i="1"/>
</calcChain>
</file>

<file path=xl/sharedStrings.xml><?xml version="1.0" encoding="utf-8"?>
<sst xmlns="http://schemas.openxmlformats.org/spreadsheetml/2006/main" count="761" uniqueCount="379">
  <si>
    <t>File</t>
  </si>
  <si>
    <t>FechaEmision</t>
  </si>
  <si>
    <t>Tipo</t>
  </si>
  <si>
    <t>Proveedor</t>
  </si>
  <si>
    <t>Solicitud</t>
  </si>
  <si>
    <t>USD</t>
  </si>
  <si>
    <t>PEN</t>
  </si>
  <si>
    <t>FechaVcto</t>
  </si>
  <si>
    <t>Comentario</t>
  </si>
  <si>
    <t>Detalle</t>
  </si>
  <si>
    <t>260700004</t>
  </si>
  <si>
    <t>CREDITOS</t>
  </si>
  <si>
    <t>ANDY HANCO ESP. AVES</t>
  </si>
  <si>
    <t>010022385</t>
  </si>
  <si>
    <t>E001-558</t>
  </si>
  <si>
    <t xml:space="preserve">22-Jul-26 | CUZ | GUIA | 001988 - VIATICOS DE MOVILIDAD CUS - HTL VALLE OW O V.V. 4PAX ADT_E(4)  = 15.00  22-Jul-26 | CUZ | GUIA | 001983 -TRF APTO VUELO LA2037/PISAC RUINAS/MARKET/HTL TAMBO DEL- INKA 4PAX ADT_E(4)  = 75.00  </t>
  </si>
  <si>
    <t>260700014</t>
  </si>
  <si>
    <t>010022665</t>
  </si>
  <si>
    <t>E001-556</t>
  </si>
  <si>
    <t xml:space="preserve">05-Jul-26 | CUZ | GUIA ENG - ESP | 001983 - GUIADO POR 8 HRS - PONGOBAMBA - MORAY - MARAS 2PAX ADT_E(2)  = 75.00  05-Jul-26 | CUZ | GUIA ENG - ESP | 001988 - VIATICOS DE MOVILIDAD CUS - HTL VALLE RIO SAGRADO 2PAX ADT_E(2)  = 15.00  </t>
  </si>
  <si>
    <t>260700019</t>
  </si>
  <si>
    <t>010022751</t>
  </si>
  <si>
    <t>E001-557</t>
  </si>
  <si>
    <t>20-Jul-26 | LIM | GUIA ENG - ESP | ASISTENCIA VUELO LA1430 4PAX ADT_E(4)  = 32.00  20-Jul-26 | CUZ | GUIA ENG - ESP | 001988 - VIATICOS DE MOVILIDAD CUS - HTL TAMBO DEL INKA OW O V.V. 4PAX ADT_E(4)  = 15.00  20-Jul-26 | CUZ | GUIA ENG - ESP | 010540 - REC</t>
  </si>
  <si>
    <t>260700009</t>
  </si>
  <si>
    <t>ARCOBALENO</t>
  </si>
  <si>
    <t>010022338</t>
  </si>
  <si>
    <t>E001-7147</t>
  </si>
  <si>
    <t>17-Jul-26 | PUN | OPERADOR TRADICIONALES | 008132 - ARCOBALENO: FD UROS TAQUILE SPEED BOAT SIC + ALMUERZO + PVT GUIDE 4PAX ADT_E(4)  = 326.96  18-Jul-26 | PUN | TRANSPORTE TURISTICO | TRF SONESTA POSADA DEL INCA PUNO/ESTACION DE TREN TITICACA TRAIN PUNO/C</t>
  </si>
  <si>
    <t>260700010</t>
  </si>
  <si>
    <t>010023005</t>
  </si>
  <si>
    <t>E001-7189</t>
  </si>
  <si>
    <t>12-Ago-26 | PUN | TRANSPORTE TURISTICO | 001924 - TRF EST. TREN PERU RAIL - HTL CASA ANDINA PREMIUM PUNO CON GUIA 6PAX ADT_E(6)  = 55.92  13-Ago-26 | PUN | OPERADOR TRADICIONALES | 008132 - ARCOBALENO: FD UROS TAQUILE SPEED BOAT SIC + ALMUERZO + PVT GUIDE</t>
  </si>
  <si>
    <t>260700011</t>
  </si>
  <si>
    <t>010023020</t>
  </si>
  <si>
    <t>E001-7143</t>
  </si>
  <si>
    <t xml:space="preserve">16-Jul-26 | PUN | OPERADOR TRADICIONALES | ANULACION CON PENALIDAD 2PAX ADT_E(2)  = 171.30  </t>
  </si>
  <si>
    <t>BUGANVILLA</t>
  </si>
  <si>
    <t>010022357</t>
  </si>
  <si>
    <t>F002-23763</t>
  </si>
  <si>
    <t xml:space="preserve">29-Jul-26 | ICA | OPERADOR AVENTURA | 011024 - BUGANVILLA: BRINDIS EXPRESS EN UTV PVT - 60 MIN + GUIA FERIADO 4PAX ADT_E(4)  = 500.32  </t>
  </si>
  <si>
    <t>260700017</t>
  </si>
  <si>
    <t>CAMPING TOURS - CAMINO INCA Y PARECIDOS</t>
  </si>
  <si>
    <t>010022475</t>
  </si>
  <si>
    <t>E001-1881</t>
  </si>
  <si>
    <t xml:space="preserve">22-Jul-26 | CUZ | OPERADOR AVENTURA | 007134 - CAMPING: FD VINICUNCA SIN CABALLO - RUTA CUSIPATA PVT 3PAX ADT_E(3)  = 442.82  </t>
  </si>
  <si>
    <t>260700005</t>
  </si>
  <si>
    <t>CAMPING TOURS - SERVICIOS CREDITO</t>
  </si>
  <si>
    <t>010023036</t>
  </si>
  <si>
    <t>E001-1844</t>
  </si>
  <si>
    <t xml:space="preserve">10-Jul-26 | CUZ | OPERADOR AVENTURA | CAMPING: HTL CUS - FD VINICUNCA - HTL CUS SIC 3PAX ADT_E(3)  = 141.60  </t>
  </si>
  <si>
    <t>CASA ANDINA PREMIUM PUNO</t>
  </si>
  <si>
    <t>010022722</t>
  </si>
  <si>
    <t>F019-32586</t>
  </si>
  <si>
    <t xml:space="preserve">12-Ago-26 | PUN |  | SUPERIOR SIN VISTA 6PAX ADT_E(6)  = 323.40  13-Ago-26 | PUN |  | SUPERIOR SIN VISTA 6PAX ADT_E(6)  = 323.40  </t>
  </si>
  <si>
    <t>010022981</t>
  </si>
  <si>
    <t xml:space="preserve">14-Ago-26 | PUN | BOX LUNCH | 008042 - CAP PUNO: BOX LUNCH OPCION 4 6PAX ADT_E(6)  = 97.92  </t>
  </si>
  <si>
    <t>CASA ANDINA PREMIUM VALLE SAGRADO</t>
  </si>
  <si>
    <t>010022267</t>
  </si>
  <si>
    <t>F013-55142</t>
  </si>
  <si>
    <t>18-Jul-26 | VAL |  | SUPERIOR DOBLE TWIN 4PAX ADT_E(4)  = 122.10  18-Jul-26 | VAL |  | 1 SUPERIOR PLUS MATRIMONIAL KING BED 4PAX ADT_E(4)  = 138.60  19-Jul-26 | VAL |  | SUPERIOR DOBLE TWIN 4PAX ADT_E(4)  = 122.10  19-Jul-26 | VAL |  | SUPERIOR PLUS MATRI</t>
  </si>
  <si>
    <t>CASA ANDINA SELECT AREQUIPA</t>
  </si>
  <si>
    <t>010022723</t>
  </si>
  <si>
    <t>F078-47775</t>
  </si>
  <si>
    <t xml:space="preserve">15-Ago-26 | AQP |  | SUPERIOR WITH TERRACE 6PAX ADT_E(6)  = 301.40  </t>
  </si>
  <si>
    <t>CASA ANDINA STANDARD CATEDRAL</t>
  </si>
  <si>
    <t>010022452</t>
  </si>
  <si>
    <t>F014-30197</t>
  </si>
  <si>
    <t xml:space="preserve">08-Jul-26 | CUZ |  | TRADITIONAL CAMA QUEEN SIZE PARA ORYNA GOICHUK (18-25 m2) 3PAX ADT_E(3)  = 76.79  09-Jul-26 | CUZ |  | TRADITIONAL CAMA QUEEN SIZE PARA ORYNA GOICHUK (18-25 m2) 3PAX ADT_E(3)  = 76.79  10-Jul-26 | CUZ |  | TRADITIONAL CAMA QUEEN SIZE </t>
  </si>
  <si>
    <t>010022454</t>
  </si>
  <si>
    <t>F014-30204</t>
  </si>
  <si>
    <t>08-Jul-26 | CUZ |  | TRADITIONAL CAMA QUEEN IEVGEN GOICHUK X 2 (18-25 m2) 3PAX ADT_E(3)  = 110.25  09-Jul-26 | CUZ |  | TRADITIONAL CAMA QUEEN IEVGEN GOICHUK X 2 (18-25 m2) 3PAX ADT_E(3)  = 110.25  10-Jul-26 | CUZ |  | TRADITIONAL CAMA QUEEN IEVGEN GOICHU</t>
  </si>
  <si>
    <t>CASA ANDINA STANDARD CUSCO PLAZA</t>
  </si>
  <si>
    <t>010022273</t>
  </si>
  <si>
    <t>F002-48880</t>
  </si>
  <si>
    <t>03-Jul-26 | CUZ |  | TRADICIONAL MATRIMONIAL SOLO PARA ORYNA GOICHUK 3PAX ADT_E(3)  = 102.30  04-Jul-26 | CUZ |  | TRADICIONAL MATRIMONIAL SOLO PARA ORYNA GOICHUK 3PAX ADT_E(3)  = 102.30  05-Jul-26 | CUZ |  | TRADICIONAL MATRIMONIAL SOLO PARA ORYNA GOICHU</t>
  </si>
  <si>
    <t>010022274</t>
  </si>
  <si>
    <t xml:space="preserve">03-Jul-26 | CUZ |  | TRADICIONAL  MATRIMONIAL  CAMA QUEEN SIZE MR IEVGEN GOICHUK X 2 3PAX ADT_E(3)  = 102.30  04-Jul-26 | CUZ |  | TRADICIONAL  MATRIMONIAL  CAMA QUEEN SIZE MR IEVGEN GOICHUK X 2TRADICIONAL  MATRIMONIAL  CAMA QUEEN 3PAX ADT_E(3)  = 102.30 </t>
  </si>
  <si>
    <t>010022261</t>
  </si>
  <si>
    <t>F002-49089</t>
  </si>
  <si>
    <t xml:space="preserve">12-Jul-26 | CUZ |  | TRADICIONAL CON VISTA MATRIMONIAL QUEEN SIZE BED 2PAX ADT_E(2)  = 113.30  13-Jul-26 | CUZ |  | TRADICIONAL CON VISTA MATRIMONIAL QUEEN SIZE BED 2PAX ADT_E(2)  = 113.30  </t>
  </si>
  <si>
    <t>260700012</t>
  </si>
  <si>
    <t>CHEF ERNESTO ALCAZAR</t>
  </si>
  <si>
    <t>010023028</t>
  </si>
  <si>
    <t>E001-111</t>
  </si>
  <si>
    <t xml:space="preserve">29-Jul-26 | VAL | CHEF | VIATICOS DE MOVILIDAD Y ALOJAMIENTO RESTANTE 17PAX ADT_E(17)  = 168.00  </t>
  </si>
  <si>
    <t>010023029</t>
  </si>
  <si>
    <t>FENIX TOURS EIRL</t>
  </si>
  <si>
    <t>010022384</t>
  </si>
  <si>
    <t>E001-1678</t>
  </si>
  <si>
    <t>22-Jul-26 | CUZ | TRANSPORTE SUPERIOR | 010204 - TRF APTO VUELO LA2037/PISAC RUINAS/MARKET/HTL TAMBO DEL- INKA RENAULT MASTER 4PAX ADT_E(4)  = 135.00  22-Jul-26 | CUZ | TRANSPORTE SUPERIOR | 010479 2 POR PAX BOTELLA DE AGUA FONTEVITA 350 ML ENVASE DE VIDR</t>
  </si>
  <si>
    <t>010022478</t>
  </si>
  <si>
    <t>E001-1656</t>
  </si>
  <si>
    <t xml:space="preserve">17-Jul-26 | CUZ | TRANSPORTE SUPERIOR | 010479 - 2 BOTELLAS A DE AGUA FONTEVITA 350 ML ENVASE DE VIDRIO 3PAX ADT_E(3)  = 4.20  17-Jul-26 | CUZ | TRANSPORTE SUPERIOR | 010187 - TRF APTO VUELO LA2075 -HOTEL TAMBO DEL INKA LUXURY MALETERO INC. 3PAX ADT_E(3) </t>
  </si>
  <si>
    <t>GABRIELA TOURS</t>
  </si>
  <si>
    <t>010023002</t>
  </si>
  <si>
    <t>E001-766</t>
  </si>
  <si>
    <t>30-May-26 | CUZ | TRANSPORTE TURISTICO | TFR APTO VUELO LA2266- HTL SOL Y LUNA LODGE SPA, VALLE 2PAX ADT_E(2)  = 75.00  30-May-26 | CUZ | TRANSPORTE TURISTICO | 02 BOTELLA DE FONTEVITA 350 ML ENVASE DE VIDRIO 2PAX ADT_E(2)  = 3.00  31-May-26 | VAL | TRANS</t>
  </si>
  <si>
    <t>010023022</t>
  </si>
  <si>
    <t>E001-763</t>
  </si>
  <si>
    <t>21-Jun-26 | CUZ | TRANSPORTE TURISTICO | 008389 - BOTELLA DE FONTEVITA 350 ML ENVASE DE VIDRIO 2PAX ADT_E(2)  = 3.00  22-Jun-26 | CUZ | TRANSPORTE TURISTICO | 02   BOTELLA DE FONTEVITA 350 ML ENVASE DE VIDRIO POR PAX 2PAX ADT_E(2)  = 6.00  23-Jun-26 | CUZ</t>
  </si>
  <si>
    <t>GODEFROY GOICOCHEA JULIETTE DESIREE</t>
  </si>
  <si>
    <t>010022766</t>
  </si>
  <si>
    <t>E001- 903</t>
  </si>
  <si>
    <t xml:space="preserve">17-Jul-26 | LIM | GUIA ENG - ESP | 001451 - ACOMPAÑAMIENTO ALMUERZO EN REST. CALA 2PAX ADT_E(2)  = 32.00  17-Jul-26 | LIM | GUIA ENG - ESP | ASISTENCIA REST. CALA/ APTO VUELO KL744 2PAX ADT_E(2)  = 32.00  </t>
  </si>
  <si>
    <t>GUIA ENG ROLLY VICTOR CARRASCO ALEGRE</t>
  </si>
  <si>
    <t>010022859</t>
  </si>
  <si>
    <t>E001-542</t>
  </si>
  <si>
    <t xml:space="preserve">30-Jul-26 | CUZ | GUIA ENG - ESP | TRF APTO - VILLA PISAC KURIWASI II | ARRIBAN EN VUELO LA2032 6PAX ADT_E(6)  = 40.00  </t>
  </si>
  <si>
    <t>010022865</t>
  </si>
  <si>
    <t xml:space="preserve">30-Jul-26 | CUZ | GUIA ENG - ESP | HTL MARTINA WASI - RUINAS OLLANTA - PACHAMANCA ALBERGUE OLLANTA - MUSEO INKARIY - HTL PISAC 19PAX ADT_E(19)  = 150.00  </t>
  </si>
  <si>
    <t>260800007</t>
  </si>
  <si>
    <t>010022901</t>
  </si>
  <si>
    <t>E001- 546</t>
  </si>
  <si>
    <t xml:space="preserve">17-Ago-26 | CUZ | GUIA ENG - ESP | 001997 - CITY TOUR POR 4 HRS: SACSAYHUAMAN + SAN BLAS + SABINO HUAMAN + FAMILIA MENDIVIL 3PAX ADT_E(3)  = 60.00  </t>
  </si>
  <si>
    <t>260700018</t>
  </si>
  <si>
    <t>GUIA MAP ING MAMANI QUISPE VICTOR</t>
  </si>
  <si>
    <t>010022198</t>
  </si>
  <si>
    <t>E001-580 / E001-581</t>
  </si>
  <si>
    <t>30-Jun-26 | MAP | GUIA | 004197 - ASISTENCIA IN 2PAX ADT_E(2)  = 7.00  30-Jun-26 | MAP | GUIA | GUIADO MACHU PICCHU 3HRS - CON TRF IN + OUT - RUTA 1B 2PAX ADT_E(2)  = 80.00  01-Jul-26 | MAP | GUIA | 004200 - GUIADO ENTRADA 1A MACHU PICCHU - 5HRS 2PAX ADT_</t>
  </si>
  <si>
    <t>HOUSE TOURS</t>
  </si>
  <si>
    <t>010023023</t>
  </si>
  <si>
    <t>E001-2031</t>
  </si>
  <si>
    <t xml:space="preserve">04-Ago-26 | CUZ | TRANSPORTE SUPERIOR | MARTINA WASI - APTO CHARTER PRIVADO SALE 12:00 | CHARTER N12NU INC. AUTO MALETERO 9PAX ADT_E(9)  = 203.50  </t>
  </si>
  <si>
    <t>010023024</t>
  </si>
  <si>
    <t xml:space="preserve">30-Jul-26 | CUZ | TRANSPORTE SUPERIOR | AUTO MALETERO TRF APTO - VILLA PISAC KURIWASI II 6PAX ADT_E(6)  = 50.00  30-Jul-26 | CUZ | TRANSPORTE SUPERIOR | TRF APTO - VILLA PISAC KURIWASI II | ARRIBAN EN VUELO LA2032 6PAX ADT_E(6)  = 120.00  </t>
  </si>
  <si>
    <t>010023025</t>
  </si>
  <si>
    <t xml:space="preserve">30-Jul-26 | VAL | TRANSPORTE SUPERIOR | HTL MARTINA WASI - RUINAS OLLANTA - PACHAMANCA ALBERGUE OLLANTA - MUSEO INKARIY - HTL PISAC 19PAX ADT_E(19)  = 140.00  </t>
  </si>
  <si>
    <t>010023026</t>
  </si>
  <si>
    <t xml:space="preserve">01-Ago-26 | CUZ | TRANSPORTE SUPERIOR | MARTINA WASI - EST.OLLANTA - FD MAPI - 15:25 EST. OLLANTA - MARTINA WASI 14PAX ADT_E(14)  = 140.00  </t>
  </si>
  <si>
    <t>010023027</t>
  </si>
  <si>
    <t>03-Ago-26 | CUZ | TRANSPORTE SUPERIOR | 01Martina Wasi - Sacsayhuaman - Plaza de Armas Cusco - San Blas - Chicha Restaurante - Martina Wasi 1PAX ADT_E(1)  = 140.00  03-Ago-26 | CUZ | TRANSPORTE SUPERIOR | Kuri Wasi 2 - Chicha Restaurante - Kuri Wasi 2.  (</t>
  </si>
  <si>
    <t>JYR</t>
  </si>
  <si>
    <t>010022514</t>
  </si>
  <si>
    <t>E001-2663</t>
  </si>
  <si>
    <t>19-Jul-26 | LIM | TRANSPORTE SUPERIOR | 003265 - TRF APTO VUELO KL743 - HTL B BARRANCO MALETERO INC. HIUNDAY SOLATI 4PAX ADT_E(4)  = 53.10  22-Jul-26 | LIM | TRANSPORTE SUPERIOR | 003265 - TRF HTL B BARRANCO/APTO VUELO LA2037  MALETERO INC.  HIUNDAY SOLAT</t>
  </si>
  <si>
    <t>010022493</t>
  </si>
  <si>
    <t>E001-2662</t>
  </si>
  <si>
    <t>15-Jul-26 | LIM | TRANSPORTE SUPERIOR | 003265 - TRF APTO VUELO KL 743 - HTL B BARRANCO  MALETERO INC. - 2 HRS 3PAX ADT_E(3)  = 53.10  16-Jul-26 | LIM | TRANSPORTE SUPERIOR | 009658 -  CITY COLONIAL SAN FRANCISCO + CATEDRAL 4 HRS /HOTEL B BARRANCO 3PAX AD</t>
  </si>
  <si>
    <t>KEMPOR TOURS</t>
  </si>
  <si>
    <t>010023003</t>
  </si>
  <si>
    <t>E001-60</t>
  </si>
  <si>
    <t>04-Jul-26 | CUZ | TRANSPORTE SUPERIOR | SARAPAMPA + TIEMPO DE ESPERA 2PAX ADT_E(2)  = 35.84  04-Jul-26 | CUZ | TRANSPORTE SUPERIOR | 010187 - TRF APTO VUELO 2266- VALLE HTL RIO SAGRADO 2PAX ADT_E(2)  = 150.00  04-Jul-26 | CUZ | TRANSPORTE SUPERIOR | 01047</t>
  </si>
  <si>
    <t>010023004</t>
  </si>
  <si>
    <t>KUTIMUY</t>
  </si>
  <si>
    <t>010022757</t>
  </si>
  <si>
    <t>F002-8703</t>
  </si>
  <si>
    <t>20-Jul-26 | CUZ | TRANSPORTE SUPERIOR | 010204 - TRF APTO VUELO LA2028 - OLLANTA - HTL VALLE TAMBO DEL INKA MALETERO INC. 4PAX ADT_E(4)  = 130.00  20-Jul-26 | CUZ | TRANSPORTE SUPERIOR | 010479 - BOTELLA DE AGUA FONTEVITA 350 ML ENVASE DE VIDRIO 4PAX ADT_</t>
  </si>
  <si>
    <t>010022758</t>
  </si>
  <si>
    <t>MANUEL GIRON RIVERA GUIA</t>
  </si>
  <si>
    <t>010022996</t>
  </si>
  <si>
    <t>E001-431</t>
  </si>
  <si>
    <t xml:space="preserve">28-May-26 | LIM | GUIA ENG - ESP | MOVILIDAD NOCTURNO 2PAX ADT_E(2)  = 15.00  28-May-26 | LIM | GUIA ENG - ESP | HTL VILLA BARRANCO - BARRANCO - CALA - HUACA PUCLLANA - CENTRO DE LIMA - HTL 2PAX ADT_E(2)  = 174.00  </t>
  </si>
  <si>
    <t>PAUL F. CATACORA RAMIREZ ESPECIALISTA AVES</t>
  </si>
  <si>
    <t>010022352</t>
  </si>
  <si>
    <t>E001-472</t>
  </si>
  <si>
    <t xml:space="preserve">28-Jul-26 | LIM | GUIA | TRF HTL CASA REPUBLICA/ HTL HACIENDA BAHIA PARACAS 4PAX ADT_E(4)  = 100.00  29-Jul-26 | LIM | GUIA | 006308 -PARACAS/ HUACACHINA BRINDIS EXPRESS UTV 60MIN FERIADO 4PAX ADT_E(4)  = 100.00  30-Jul-26 | LIM | GUIA | TRF HTL HACIENDA </t>
  </si>
  <si>
    <t>260800004</t>
  </si>
  <si>
    <t>010023053</t>
  </si>
  <si>
    <t>E001-743</t>
  </si>
  <si>
    <t>12-Ago-26 | LIM | GUIA ENG - ESP | HTL VILLA BARRANCO - HACIENDA BAHIA PARACAS 2PAX ADT_E(2)  = 100.00  13-Ago-26 | LIM | GUIA ENG - ESP | HTL HACIENDA BAHIA  - BALLESTAS 08.00 EN HACIENDA - SOBRE VUELO NAZCA AERODROMO PISCO 11.30 - HTL 2PAX ADT_E(2)  = 1</t>
  </si>
  <si>
    <t>PERUVIAN CULTURE TRAVEL</t>
  </si>
  <si>
    <t>010023018</t>
  </si>
  <si>
    <t>F001-671</t>
  </si>
  <si>
    <t xml:space="preserve">07-Jun-26 | AQP | OPERADOR TRADICIONALES | MULTA POR SER DÍA ELECTORAL (ELECCIONES NACIONALES) 2PAX ADT_E(2)  = 129.08  </t>
  </si>
  <si>
    <t>010023017</t>
  </si>
  <si>
    <t>F001-610</t>
  </si>
  <si>
    <t xml:space="preserve">03-May-26 | AQP | OPERADOR TRADICIONALES | 02 BOTELLA DE AGUA 2PAX ADT_E(2)  = 2.00  03-May-26 | AQP | OPERADOR TRADICIONALES | TRANSFER APTO VUELO LA2330 - HTL PALLA BOUTIQUE 2PAX ADT_E(2)  = 33.80  04-May-26 | AQP | OPERADOR TRADICIONALES | CITY TOUR + </t>
  </si>
  <si>
    <t>010022337</t>
  </si>
  <si>
    <t>F001-694</t>
  </si>
  <si>
    <t>12-Jul-26 | AQP | OPERADOR TRADICIONALES | TRF APTO VUELO LA2330 /HTL KATARI 4PAX ADT_E(4)  = 44.00  12-Jul-26 | AQP | OPERADOR TRADICIONALES | 003362 - 01 BOTELLA DE AGUA 4PAX ADT_E(4)  = 4.00  13-Jul-26 | AQP | OPERADOR TRADICIONALES | CITY TOUR + MONAS</t>
  </si>
  <si>
    <t>010023006</t>
  </si>
  <si>
    <t>F001-653</t>
  </si>
  <si>
    <t xml:space="preserve">14-Ago-26 | PUN | OPERADOR TRADICIONALES | 003956 - 2D/1N PUN - COL - AQP  PVT - HTL IN/OUT CHIVAY INC. BTC 6PAX ADT_E(6)  = 1228.00 15-Ago-26 | PUN | OPERADOR TRADICIONALES | 003956 - 2D/1N PUN - COL - AQP  PVT - HTL IN/OUT CHIVAY INC. BTC 6PAX ADT_E(6) </t>
  </si>
  <si>
    <t>010023019</t>
  </si>
  <si>
    <t>F001-693</t>
  </si>
  <si>
    <t>14-Jul-26 | AQP | OPERADOR TRADICIONALES | 3D/2N AQP - COL- PUN PVT - HTL IN/OUT CHIVAY (SIN BTC) 2PAX ADT_E(2)  = 938.00  14-Jul-26 | AQP | OPERADOR TRADICIONALES | TRF APTO VUELO LA2328 LLEGADA 09:05/INICIO DE TOUR DE COLCA 2PAX ADT_E(2)  = 33.80  15-Ju</t>
  </si>
  <si>
    <t>010022492</t>
  </si>
  <si>
    <t>F001-737</t>
  </si>
  <si>
    <t xml:space="preserve">25-Jul-26 | AQP | OPERADOR TRADICIONALES | 003927 - TRF ESTACION DE TREN/ HTL PALACIO GUAQUI 3PAX ADT_E(3)  = 36.00  26-Jul-26 | AQP | OPERADOR TRADICIONALES | 003927 - TRF HTL PALACIO GUAQUI/ APTO  LA2108 3PAX ADT_E(3)  = 36.00  </t>
  </si>
  <si>
    <t>010023062</t>
  </si>
  <si>
    <t>F001-734</t>
  </si>
  <si>
    <t xml:space="preserve">22-Ago-26 | AQP | OPERADOR TRADICIONALES | HTL CIRQA - CITY TOUR - MONASTERIO Y JUANITA - HTL 2PAX ADT_E(2)  = 165.60  23-Ago-26 | AQP | OPERADOR TRADICIONALES | HTL CIRQA - 3D/2N AQP - COL- PUN  INC. BTC - COLCA LODGE 2PAX ADT_E(2)  = 1078.00  24-Ago-26 </t>
  </si>
  <si>
    <t>RONALD SARMIENTO TRASLADISTA ADICIONAR VIATICOS</t>
  </si>
  <si>
    <t>010023001</t>
  </si>
  <si>
    <t xml:space="preserve">16-Jun-26 | LIM | TRASLADISTA | VIATICOS DE MOVILIDAD NOCTURNO CASA - APTO OW O V.V - (18.01 A 07:00 HRS.) 2PAX ADT_E(2)  = 16.00  19-Jun-26 | LIM | TRASLADISTA | 011018 - VIATICOS DE MOVILIDAD DIURNO CASA - APTO OW O V.V 2PAX ADT_E(2)  = 8.00  16-Jun-26 </t>
  </si>
  <si>
    <t>010022643</t>
  </si>
  <si>
    <t>E001-453</t>
  </si>
  <si>
    <t xml:space="preserve">07-Jun-26 | LIM | TRASLADISTA | 001447 - TRASLADO O ASISTENCIA APTO VUELO AF500 - HTL RADISSON DECAPOLIS 2PAX ADT_E(2)  = 29.00  09-Jun-26 | LIM | TRASLADISTA | 001447 - TRASLADO O ASISTENCIA DE DIA HTL RADISSON - APTO VUELO LA2260 2PAX ADT_E(2)  = 29.00 </t>
  </si>
  <si>
    <t>010022350</t>
  </si>
  <si>
    <t>E001-503</t>
  </si>
  <si>
    <t>11-Jul-26 | LIM | TRASLADISTA | 011018 - VIATICOS DE MOVILIDAD DIURNO CASA - APTO OW O V.V 4PAX ADT_E(4)  = 8.00  12-Jul-26 | LIM | TRASLADISTA | 011018 - VIATICOS DE MOVILIDAD DIURNO CASA - APTO OW O V.V 4PAX ADT_E(4)  = 8.00  27-Jul-26 | LIM | TRASLADIS</t>
  </si>
  <si>
    <t>010022819</t>
  </si>
  <si>
    <t>E001-459</t>
  </si>
  <si>
    <t xml:space="preserve">10-Ago-26 | LIM | TRASLADISTA | TRF APTO - HTL VILLA BARRANCO | LLEGA EN VUELO KL 743 AMSLIM 2PAX ADT_E(2)  = 29.00  01-Set-26 | LIM | TRASLADISTA | APTO - HTL VILLA BARRANCO | LLEGAN EN VUELO LA2254 TYLLIM A LAS 15:10 2PAX ADT_E(2)  = 29.00  02-Set-26 | </t>
  </si>
  <si>
    <t>TRANSPORTES TURISTICOS LASER</t>
  </si>
  <si>
    <t>010023032</t>
  </si>
  <si>
    <t>E001-1151</t>
  </si>
  <si>
    <t xml:space="preserve">18-Abr-26 | LIM | TRANSPORTE TURISTICO | HTL CASA REPUBLICA - CENTRO LIMA CATEDRAL Y SAN FRANCISCO - PEND 3PAX ADT_E(3)  = 70.80  18-Abr-26 | LIM | TRANSPORTE TURISTICO | TRASLADO HTL CASA REPUBLICA BARRANCO - APTO VUELO KL744 3PAX ADT_E(3)  = 33.26  </t>
  </si>
  <si>
    <t>010023033</t>
  </si>
  <si>
    <t>010023014</t>
  </si>
  <si>
    <t>E001-1160</t>
  </si>
  <si>
    <t>09-May-26 | LIM | TRANSPORTE TURISTICO | TRF APTO  - HOTEL RADISSON DECAPOLIS INC MALETAS VUELO LA520 2PAX ADT_E(2)  = 33.04  10-May-26 | LIM | TRANSPORTE TURISTICO | TRF HD GASTRONOMICO - 6 HRS 2PAX ADT_E(2)  = 89.68  12-May-26 | LIM | TRANSPORTE TURISTI</t>
  </si>
  <si>
    <t>010023015</t>
  </si>
  <si>
    <t>260700003</t>
  </si>
  <si>
    <t>TRASLADISTA GONZALES ACHAHUI HENRY</t>
  </si>
  <si>
    <t>010022857</t>
  </si>
  <si>
    <t>E001-638</t>
  </si>
  <si>
    <t>12-Jul-26 | CUZ | TRASLADISTA | 009863 - APTO VUELO LA2238 - HTL ANDENIA VALLE SAGRADO 5PAX ADT_E(5)  = 25.00  12-Jul-26 | CUZ | TRASLADISTA | 009883 - VIATICOS MOVILIDAD CUS - VALLE - CUS 5PAX ADT_E(5)  = 5.00  19-Jul-26 | CUZ | TRASLADISTA | 009860 - HT</t>
  </si>
  <si>
    <t>010022399</t>
  </si>
  <si>
    <t>E001-644</t>
  </si>
  <si>
    <t xml:space="preserve">24-Jul-26 | VAL | TRASLADISTA | 009869 - HTL TAMBO DEL INKA VALLE - EST. OLLANTA VTD 31 4PAX ADT_E(4)  = 25.00  24-Jul-26 | CUZ | TRASLADISTA | 009883 - VIATICOS MOVILIDAD CUS - VALLE - CUS 4PAX ADT_E(4)  = 10.00  25-Jul-26 | CUZ | TRASLADISTA | 009867 - </t>
  </si>
  <si>
    <t>010022347</t>
  </si>
  <si>
    <t>E001-640</t>
  </si>
  <si>
    <t xml:space="preserve">18-Jul-26 | CUZ | TRASLADISTA | TRF ESTACION TREN WANCHAQ/ HTL CASA ANDINA PREMIUM VALLE 4PAX ADT_E(4)  = 25.00  18-Jul-26 | CUZ | TRASLADISTA | 009883 - VIATICOS MOVILIDAD CUS - VALLE - CUS 4PAX ADT_E(4)  = 10.00  24-Jul-26 | CUZ | TRASLADISTA | TRF HTL </t>
  </si>
  <si>
    <t>010022301</t>
  </si>
  <si>
    <t>10-Jul-26 | CUZ | TRASLADISTA | TRF APTO /HTL SONESTA POSADA YUCAY VALLE VUELO LA2130 2PAX ADT_E(2)  = 25.00  10-Jul-26 | CUZ | TRASLADISTA | 009955 - VIATICOS MOVILIDAD CUS - VALLE OW O V.V 2PAX ADT_E(2)  = 5.00  12-Jul-26 | VAL | TRASLADISTA | TRF HTL S</t>
  </si>
  <si>
    <t>010022473</t>
  </si>
  <si>
    <t>E001-639</t>
  </si>
  <si>
    <t xml:space="preserve">17-Jul-26 | CUZ | TRASLADISTA | 009863 -TRF APTO VUELO LA2075 -HOTEL TAMBO DEL INKA LUXURY 3PAX ADT_E(3)  = 25.00  17-Jul-26 | CUZ | TRASLADISTA | 009883 - VIATICOS MOVILIDAD CUS - VALLE - CUS 3PAX ADT_E(3)  = 5.00  19-Jul-26 | VAL | TRASLADISTA | 009869 </t>
  </si>
  <si>
    <t>010022753</t>
  </si>
  <si>
    <t>E001-641</t>
  </si>
  <si>
    <t xml:space="preserve">22-Jul-26 | CUZ | GUIA ENG - ESP | 006255 - ASISTENCIA EST. POROY - HTL BELMOND MONASTERIO 4PAX ADT_E(4)  = 20.00  25-Jul-26 | CUZ | GUIA ENG - ESP | 001981 - ASISTENCIA HTL BELMOND MONASTERIO - APTO 4PAX ADT_E(4)  = 20.00  </t>
  </si>
  <si>
    <t>VILCAS HANCCO ADRIEL</t>
  </si>
  <si>
    <t>010022999</t>
  </si>
  <si>
    <t>E001-441</t>
  </si>
  <si>
    <t xml:space="preserve">11-Jul-26 | CUZ | GUIA ENG - ESP | FULL DAY PISAC, CUCHARA DE PALO REST &amp; OLLANTAYTAMBO-SONESTA POSADA DEL INCA YUCAY 2PAX ADT_E(2)  = 75.00  13-Jul-26 | CUZ | GUIA ENG - ESP | TRF HD RUINAS+KORICANCHA+CATEDRAL - 4 HRS. 2PAX ADT_E(2)  = 60.00  </t>
  </si>
  <si>
    <t>260700008</t>
  </si>
  <si>
    <t>ADRIAN CANALES GONZALES</t>
  </si>
  <si>
    <t>010022500</t>
  </si>
  <si>
    <t>PENDIENTE RHE</t>
  </si>
  <si>
    <t>26-Jul-26 | LIM | TRASLADISTA | 001448 - TRF APTO VUELO TS0152 - HTL GIRASOLES 2PAX ADT_E(2)  = 23.00  26-Jul-26 | LIM | TRASLADISTA | 002369 - VIATICOS DE MOVILIDAD NOCTURNO CASA - APTO OW O V.V 2PAX ADT_E(2)  = 10.00  27-Jul-26 | LIM | TRASLADISTA | 001</t>
  </si>
  <si>
    <t>010022989</t>
  </si>
  <si>
    <t>PENDIENTE FACTURA</t>
  </si>
  <si>
    <t>19-Ago-26 | PUN | AGUA Y SNACKS | 02 UNIDAD DE BOTELLA DE AGUA 2PAX ADT_E(2)  = 4.00  19-Ago-26 | PUN | OPERADOR TRADICIONALES | HTL GHL - FD UROS TAQUILE SPEED BOAT SIC + ALMUERZO + PVT GUIDE - HTL GHL 2PAX ADT_E(2)  = 187.62  20-Ago-26 | PUN | TRANSPORT</t>
  </si>
  <si>
    <t>260600002</t>
  </si>
  <si>
    <t>BERROSPI OBREGU Evelyn Rosemarie</t>
  </si>
  <si>
    <t>010022776</t>
  </si>
  <si>
    <t xml:space="preserve">19-Jun-26 | LIM | TRASLADISTA | TRASLADO HTL AC MIRAFLORES / APTO VUELO LA2077 6PAX ADT_E(6)  = 23.00  26-Jun-26 | LIM | TRASLADISTA | TRF AC MIRAFLORES/APTO VUELO IB 126 (2 PAX) MR CHAO KUANG 6PAX ADT_E(6)  = 23.00  </t>
  </si>
  <si>
    <t>010021937</t>
  </si>
  <si>
    <t xml:space="preserve">16-Jul-26 | PUN |  | SUPERIOR LAKE VIEW 2PAX ADT_E(2)  = 124.30  </t>
  </si>
  <si>
    <t>010022724</t>
  </si>
  <si>
    <t xml:space="preserve">16-Ago-26 | AQP |  | SUPERIOR WITH TERRACE 2PAX ADT_E(2)  = 150.70 (MR &amp; MRS GIBSON)  17-Ago-26 | AQP |  | SUPERIOR WITH TERRACE 2PAX ADT_E(2)  = 150.70 (MR &amp; MRS GIBSON)  </t>
  </si>
  <si>
    <t>CASA ANDINA STANDARD PUNO</t>
  </si>
  <si>
    <t>010022401</t>
  </si>
  <si>
    <t xml:space="preserve">29-Jul-26 | PUN |  | 1 TRADICIONAL MATRIMONIAL 2PAX ADT_E(2)  = 56.84  30-Jul-26 | PUN |  | 1 TRADICIONAL MATRIMONIAL 2PAX ADT_E(2)  = 56.84  31-Jul-26 | PUN |  | 1 TRADICIONAL MATRIMONIAL 2PAX ADT_E(2)  = 56.84  </t>
  </si>
  <si>
    <t>010022888</t>
  </si>
  <si>
    <t xml:space="preserve">04-Ago-26 | CUZ | TRANSPORTE TURISTICO | 002058 - TRF APT IN APTO LA2359 - JR SICUANI H-2 CUSCO 5PAX ADT_E(5)  = 25.00  </t>
  </si>
  <si>
    <t>260800005</t>
  </si>
  <si>
    <t>010022953</t>
  </si>
  <si>
    <t xml:space="preserve">29-Ago-26 | CUZ | TRANSPORTE TURISTICO | 002058 - TRF IN APTO LA 2359 - HTL RUMIPUNKU 6PAX ADT_E(6)  = 22.00  06-Set-26 | CUZ | TRANSPORTE TURISTICO | 002058 - TRF OUT HTL RUMIPUNKU - APTO LA2121 6PAX ADT_E(6)  = 22.00  </t>
  </si>
  <si>
    <t>010022954</t>
  </si>
  <si>
    <t xml:space="preserve">29-Ago-26 | CUZ | TRANSPORTE TURISTICO | 008389 - BOTELLA DE FONTEVITA 350 ML ENVASE DE VIDRIO 6PAX ADT_E(6)  = 8.40  </t>
  </si>
  <si>
    <t>010022955</t>
  </si>
  <si>
    <t xml:space="preserve">30-Ago-26 | CUZ | TRANSPORTE TURISTICO | 004558 - TRF HD COMBINADA (CITY + RUINAS) - 4 HRS. 6PAX ADT_E(6)  = 75.00  </t>
  </si>
  <si>
    <t>010022956</t>
  </si>
  <si>
    <t xml:space="preserve">30-Ago-26 | CUZ | TRANSPORTE SUPERIOR | 010479 - BOTELLA DE AGUA FONTEVITA 350 ML ENVASE DE VIDRIO 6PAX ADT_E(6)  = 8.40  </t>
  </si>
  <si>
    <t>010022957</t>
  </si>
  <si>
    <t xml:space="preserve">30-Ago-26 | CUZ | TRANSPORTE TURISTICO | TRANSFER APTO VUELO LA2232 - HTL RUMIPUNKU 2PAX ADT_E(2)  = 15.00  </t>
  </si>
  <si>
    <t>010022958</t>
  </si>
  <si>
    <t xml:space="preserve">30-Ago-26 | CUZ | TRANSPORTE TURISTICO | 008389 - BOTELLA DE FONTEVITA 350 ML ENVASE DE VIDRIO 2PAX ADT_E(2)  = 2.80  </t>
  </si>
  <si>
    <t>010022511</t>
  </si>
  <si>
    <t xml:space="preserve">15-Jul-26 | CUZ | TRANSPORTE TURISTICO | TRASLADO DE MALETAS DE PAX HTL ANDENIA URUBAMBA/HTL CASA CARTAGENA CUSCO 5PAX ADT_E(5)  = 70.00  </t>
  </si>
  <si>
    <t>010022449</t>
  </si>
  <si>
    <t xml:space="preserve">04-Jul-26 | CUZ | TRANSPORTE TURISTICO | TRF APTO VUELO LA2166 /HTL CASA ANDINA STANDARD CUSCO PLAZA 3PAX ADT_E(3)  = 12.00  04-Jul-26 | CUZ | TRANSPORTE TURISTICO | 008389 - BOTELLA DE FONTEVITA 350 ML ENVASE DE VIDRIO 3PAX ADT_E(3)  = 4.50  06-Jul-26 | </t>
  </si>
  <si>
    <t>010022298</t>
  </si>
  <si>
    <t>10-Jul-26 | CUZ | TRANSPORTE TURISTICO | TRF APTO /HTL SONESTA POSADA YUCAY VALLE VUELO LA2130 2PAX ADT_E(2)  = 75.00  10-Jul-26 | CUZ | TRANSPORTE TURISTICO | 2 BOTELLA POR PAX DE FONTEVITA 350 ML ENVASE DE VIDRIO 2PAX ADT_E(2)  = 3.00  11-Jul-26 | VAL |</t>
  </si>
  <si>
    <t>010022598</t>
  </si>
  <si>
    <t>26-Jun-26 | CUZ | TRANSPORTE TURISTICO | 002058 - TRF APTO CUSCO VUELO AR8342 - HTL PALACIO NAZARENAS BELMOND 2PAX ADT_E(2)  = 12.00  26-Jun-26 | CUZ | TRANSPORTE TURISTICO | 008389 - BOTELLA DE FONTEVITA 350 ML ENVASE DE VIDRIO 2PAX ADT_E(2)  = 3.00  30-</t>
  </si>
  <si>
    <t>GUIA ING RENATO VERA</t>
  </si>
  <si>
    <t>010022951</t>
  </si>
  <si>
    <t xml:space="preserve">30-Ago-26 | CUZ | GUIA ENG - ESP | 001997 - CITY TOUR + RUINAS POR 4 HRS 6PAX ADT_E(6)  = 60.00  </t>
  </si>
  <si>
    <t>010022476</t>
  </si>
  <si>
    <t xml:space="preserve">24-Jul-26 | MAP | GUIA | 004197 - ASISTENCIA LLEGADA VTF 31/HTL MACHU PICCHU PUEBLO INKATERRA 4PAX ADT_E(4)  = 7.00  25-Jul-26 | MAP | GUIA | 004196 - GUIA MACHU PICCHU 3HRS CIRCUIT2A 09:00 - CON TRF IN HTL/TRF OUT VTD OBS34 4PAX ADT_E(4)  = 80.00  </t>
  </si>
  <si>
    <t>010022290</t>
  </si>
  <si>
    <t xml:space="preserve">08-Jul-26 | MAP | GUIA | GUIA MACHU PICCHU CIRCUITO 2 A 3HRS - CON TRF IN VTD31 + OUT VTD32 3PAX ADT_E(3)  = 80.00  </t>
  </si>
  <si>
    <t>010022405</t>
  </si>
  <si>
    <t xml:space="preserve">05-Ago-26 | MAP | GUIA | 004196 - GUIA MACHU PICCHU CIRCUIT 2A 3HRS - CON TRF IN EXP 31 TRF OUT EXP 604 2PAX ADT_E(2)  = 80.00  </t>
  </si>
  <si>
    <t>010022458</t>
  </si>
  <si>
    <t xml:space="preserve">12-Jul-26 | MAP | GUIA | GUIA MACHU PICCHU 3HRS CIRCUITO 2B 12:00PM - CON TRF IN VTD 31 2PAX ADT_E(2)  = 80.00  </t>
  </si>
  <si>
    <t>010022720</t>
  </si>
  <si>
    <t>12-Jul-26 | MAP | GUIA ENG - ESP | GUIA MACHU PICCHU 3HRS CIRCUITO 2B 12:00PM - CON TRF IN VTD 31 2PAX ADT_E(2)  = 80.00  12-Jul-26 | MAP | GUIA ENG - ESP | ASISTENCIA BUS - REST. INDIO FELIZ 2PAX ADT_E(2)  = 7.00  12-Jul-26 | MAP | GUIA ENG - ESP | ASIST</t>
  </si>
  <si>
    <t>010022671</t>
  </si>
  <si>
    <t>07-Jul-26 | MAP | GUIA ENG - ESP | 004197 - ASISTENCIA IN 2PAX ADT_E(2)  = 7.00  07-Jul-26 | MAP | GUIA ENG - ESP | 004196 - GUIA MACHU PICCHU 3HRS - CON TRF IN + OUT CIRCUITO 2 2PAX ADT_E(2)  = 80.00  08-Jul-26 | MAP | GUIA ENG - ESP | 004197 - ASISTENCI</t>
  </si>
  <si>
    <t>010022477</t>
  </si>
  <si>
    <t xml:space="preserve">19-Jul-26 | MAP | GUIA | 004197 - ASISTENCIA IN VISTADOME 31/HTL MACHU PICCHU PUEBLO INKATERRA 3PAX ADT_E(3)  = 7.00  20-Jul-26 | MAP | GUIA | 004200 - GUIADO MACHU PICCHU CIRCUITO 1 A 5HRS 3PAX ADT_E(3)  = 160.00  </t>
  </si>
  <si>
    <t>010022752</t>
  </si>
  <si>
    <t>21-Jul-26 | MAP | GUIA ENG - ESP | 004197 - ASISTENCIA  OUT 4PAX ADT_E(4)  = 7.00  22-Jul-26 | MAP | GUIA ENG - ESP | 004197 - ASISTENCIA IN O OUT 4PAX ADT_E(4)  = 7.00  22-Jul-26 | MAP | GUIA ENG - ESP | 004200 - GUIADO MACHU PICCHU + WAYNA PICCHU - 5HRS</t>
  </si>
  <si>
    <t>010022992</t>
  </si>
  <si>
    <t xml:space="preserve">23-Ago-26 | MAP | GUIA ENG - ESP | ASISTENCIA ESTA TREN - HTL EL MAPI 2PAX ADT_E(2)  = 0.00  24-Ago-26 | MAP | GUIA ENG - ESP | GUIA MACHU PICCHU 3HRS - CON TRF IN + OUT | CIRCUITO 2A 2PAX ADT_E(2)  = 80.00  </t>
  </si>
  <si>
    <t>010022897</t>
  </si>
  <si>
    <t>15-Ago-26 | MAP | GUIA ENG - ESP | 004197 - ASISTENCIA IN ESTACION AGUAS CALIENTES - HTL SUMAQ MACHU PICCHU 3PAX ADT_E(3)  = 7.00  15-Ago-26 | MAP | GUIA ENG - ESP | 004196 - GUIA MACHU PICCHU 3HRS - CON TRF IN + OUT 3PAX ADT_E(3)  = 80.00  16-Ago-26 | MA</t>
  </si>
  <si>
    <t>260900010</t>
  </si>
  <si>
    <t>010023125</t>
  </si>
  <si>
    <t>12-Set-26 | MAP | GUIA ENG - ESP | 004197 - ASISTENCIA IN O OUT 2PAX ADT_E(2)  = 7.00  12-Set-26 | MAP | GUIA ENG - ESP | 004196 - GUIA MACHU PICCHU 3HRS - CON TRF IN + OUT 2PAX ADT_E(2)  = 80.00  13-Set-26 | MAP | GUIA ENG - ESP | 004196 - GUIA MACHU PIC</t>
  </si>
  <si>
    <t>010022894</t>
  </si>
  <si>
    <t>13-Ago-26 | CUZ | TRANSPORTE SUPERIOR | 010187 - TRF APTO LA2359 - HTL ANDENIA BOUTIQUE VALLE 3PAX ADT_E(3)  = 100.00  13-Ago-26 | CUZ | TRANSPORTE SUPERIOR | 010479 - BOTELLA DE AGUA FONTEVITA 350 ML ENVASE DE VIDRIO 3PAX ADT_E(3)  = 4.50  14-Ago-26 | VA</t>
  </si>
  <si>
    <t>010022895</t>
  </si>
  <si>
    <t>010022993</t>
  </si>
  <si>
    <t>14-Ago-26 | AQP | OPERADOR TRADICIONALES | 02 BOTELLA DE AGUA 2PAX ADT_E(2)  = 2.00  14-Ago-26 | AQP | OPERADOR TRADICIONALES | APTO - HTL KATARI | LLEGA EN VUELO  LA2330 LIM/AQP 2PAX ADT_E(2)  = 33.80  15-Ago-26 | AQP | OPERADOR TRADICIONALES | ADICIONAL</t>
  </si>
  <si>
    <t>010022355</t>
  </si>
  <si>
    <t>11-Jul-26 | LIM | TRASLADISTA | 002369 - VIATICOS DE MOVILIDAD NOCTURNO CASA - APTO OW O V.V - NOCTURNO 5PAX ADT_E(5)  = 18.00  12-Jul-26 | LIM | TRASLADISTA | 011018 - VIATICOS DE MOVILIDAD DIURNO CASA - APTO OW O V.V 5PAX ADT_E(5)  = 8.00  11-Jul-26 | L</t>
  </si>
  <si>
    <t>010022524</t>
  </si>
  <si>
    <t>03-Jul-26 | LIM | TRASLADISTA | TRASLADO  DE NOCHE APTO VUELO LA222 ARRIVAL 01:35 - HTL BELMOND MIRAFLORES PARK 2PAX ADT_E(2)  = 23.00  03-Jul-26 | LIM | TRASLADISTA | 002369 - VIATICOS DE MOVILIDAD APTO LIMA - CASA 2PAX ADT_E(2)  = 10.00  06-Jul-26 | LIM</t>
  </si>
  <si>
    <t>260400006</t>
  </si>
  <si>
    <t>010023012</t>
  </si>
  <si>
    <t xml:space="preserve">24-Abr-26 | LIM | TRANSPORTE TURISTICO | TRF APTO LA2008 - PARACAS HTL LEGEND PARACAS 4PAX ADT_E(4)  = 35.40  </t>
  </si>
  <si>
    <t>010023013</t>
  </si>
  <si>
    <t>010023072</t>
  </si>
  <si>
    <t>16-Ago-26 | LIM | TRANSPORTE TURISTICO | 005496 - TRF APTO LA 2102 - PARACAS 6PAX ADT_E(6)  = 62.54  16-Ago-26 | LIM | TRANSPORTE TURISTICO | 003371 - 2D/1N LIM - PRC: HACIENDA BAHIA PARACAS + RESERVA NACIONAL 6PAX ADT_E(6)  = 826.00  17-Ago-26 | LIM | TR</t>
  </si>
  <si>
    <t>010023071</t>
  </si>
  <si>
    <t>010022948</t>
  </si>
  <si>
    <t xml:space="preserve">25-Ago-26 | LIM | TRANSPORTE SUPERIOR | 003265 - TRF IN APTO LA2457 - HTL LOS GIRASOLES 4PAX ADT_E(4)  = 64.90  26-Ago-26 | LIM | TRANSPORTE TURISTICO | 008816 - FD 10 HRS: MERCADO SURQUILLO - UKAW - CALA - CENTRO DE LIMA 4PAX ADT_E(4)  = 177.00  </t>
  </si>
  <si>
    <t>010022963</t>
  </si>
  <si>
    <t xml:space="preserve">29-Ago-26 | LIM | TRANSPORTE TURISTICO | 005496 - TRF APTO VUELO UA854 - HTL  GIRASOLES OW O V.V MALETERO INC. - 2HRS 2PAX ADT_E(2)  = 33.04  30-Ago-26 | LIM | TRANSPORTE TURISTICO | HTL GIRASOLES - APTO VUELO LA2232 2PAX ADT_E(2)  = 33.04  </t>
  </si>
  <si>
    <t>010022890</t>
  </si>
  <si>
    <t xml:space="preserve">04-Ago-26 | CUZ | GUIA ENG - ESP | 001981 - ASISTENCIA APTO LA2359 - JR SICUANI H-2 CUSCO 5PAX ADT_E(5)  = 20.00  </t>
  </si>
  <si>
    <t>010022813</t>
  </si>
  <si>
    <t xml:space="preserve">30-Jul-26 | CUZ | TRASLADISTA | TRF APTO - AWANACHANCHA - MARTINA WASI PISAC | ARRIBA EN VUELO CHARTER (N12NU) 9PAX ADT_E(9)  = 25.00  04-Ago-26 | CUZ | TRASLADISTA | MARTINA WASI - APTO CHARTER PRIVADO SALE 13:30 | CHARTER N12NU 9PAX ADT_E(9)  = 25.00  </t>
  </si>
  <si>
    <t>010022926</t>
  </si>
  <si>
    <t xml:space="preserve">05-Ago-26 | CUZ | TRASLADISTA | HTL KURI WASI 2 - APTO | SALIDA LA2129 A LAS 10:05 6PAX ADT_E(6)  = 25.00  </t>
  </si>
  <si>
    <t>010022946</t>
  </si>
  <si>
    <t xml:space="preserve">29-Ago-26 | CUZ | TRASLADISTA | 009860 - APTO  APTO LA 2359 - HTL RUMIPUNKU 6PAX ADT_E(6)  = 8.00  06-Set-26 | CUZ | TRASLADISTA | HTL RUMIPUNKU - APT VUELO LA2121 6PAX ADT_E(6)  = 8.00  </t>
  </si>
  <si>
    <t>010022952</t>
  </si>
  <si>
    <t xml:space="preserve">30-Ago-26 | CUZ | GUIA ENG - ESP | 001981 - ASISTENCIA APTO LA2232 / HOTEL RUMIPUMKU 2PAX ADT_E(2)  = 20.00  </t>
  </si>
  <si>
    <t>010022904</t>
  </si>
  <si>
    <t>13-Ago-26 | CUZ | GUIA ENG - ESP | 008671 - ASISTENCIA APTO LA2359 - HTL ANDENIA BOUTIQUE VALLE 3PAX ADT_E(3)  = 25.00  15-Ago-26 | CUZ | GUIA ENG - ESP | 001981 - ASISTENCIA HTL ANDENIA VALLE - ESTACION OLLANTAYTAMBO 3PAX ADT_E(3)  = 25.00  16-Ago-26 | C</t>
  </si>
  <si>
    <t>010023119</t>
  </si>
  <si>
    <t>12-Set-26 | CUZ | GUIA ENG - ESP | 001993 - ASISTENCIA CUS - OLLANTA OW O V.V 2PAX ADT_E(2)  = 35.00  13-Set-26 | CUZ | GUIA ENG - ESP | 006255 - ASISTENCIA CUS - EST. POROY OW O V.V. 2PAX ADT_E(2)  = 14.00  15-Set-26 | CUZ | GUIA ENG - ESP | 001981 - ASI</t>
  </si>
  <si>
    <t>010022936</t>
  </si>
  <si>
    <t xml:space="preserve">01-Ago-26 | CUZ | GUIA ENG - ESP | VIATICO DE ALIMENTACIÓN - ALMUERZO 14PAX ADT_E(14)  = 12.00  01-Ago-26 | CUZ | GUIA ENG - ESP | MARTINA WASI - EST.OLLANTA - FD MAPI - EST. OLLANTA - MARTINA WASI 14PAX ADT_E(14)  = 118.00  </t>
  </si>
  <si>
    <t>010022898</t>
  </si>
  <si>
    <t xml:space="preserve">14-Ago-26 | CUZ | GUIA ENG - ESP | 001983 - GUIADO POR 8 HRS: HTL ANDENIA - OLLANTAYTAMBO - ALQA - PISAC RUINAS 3PAX ADT_E(3)  = 75.00  14-Ago-26 | CUZ | GUIA ENG - ESP | 001988 - VIATICOS DE MOVILIDAD CUS - HTL VALLE OW O V.V. 3PAX ADT_E(3)  = 15.00  </t>
  </si>
  <si>
    <t>010023120</t>
  </si>
  <si>
    <t>10-Set-26 | CUZ | GUIA ENG - ESP | 001983 - GUIADO POR 8 HRS 2PAX ADT_E(2)  = 75.00  10-Set-26 | CUZ | GUIA ENG - ESP | 001988 - VIATICOS DE MOVILIDAD CUS - HTL VALLE OW O V.V. 2PAX ADT_E(2)  = 15.00  11-Set-26 | CUZ | GUIA ENG - ESP | 001983 - GUIADO POR</t>
  </si>
  <si>
    <t>VILLA BARRANCO BY ANANAY HOTELS</t>
  </si>
  <si>
    <t>010021413</t>
  </si>
  <si>
    <t xml:space="preserve">10-Ago-26 | LIM |  | JUNIOR SUITE (50 m2) WITH A KING BED 2PAX ADT_E(2)  = 318.00  11-Ago-26 | LIM |  | JUNIOR SUITE (50 m2)  WITH A KING BED 2PAX ADT_E(2)  = 318.00  01-Set-26 | LIM |  | JUNIOR SUITE (50 m2) WITH A KING BED 2PAX ADT_E(2)  = 318.00  </t>
  </si>
  <si>
    <t>010022296</t>
  </si>
  <si>
    <t/>
  </si>
  <si>
    <t>16-Jul-26 | PUN | OPERADOR TRADICIONALES | ARCOBALENO: H/D UROS LANCHA RAPIDA - PVT- CASA ANDINA PREMIUM PUNO 2PAX ADT_E(2)  = 184.34  17-Jul-26 | PUN | TRANSPORTE TURISTICO | TRF HTL CASA ANDINA PREMIUM PUNO - APTO VUELO LA2148 SALE A LAS 11:00 2PAX ADT_</t>
  </si>
  <si>
    <t>010022928</t>
  </si>
  <si>
    <t>E001-66</t>
  </si>
  <si>
    <t xml:space="preserve">01-Ago-26 | CUZ | TRANSPORTE SUPERIOR | 01 AGUA SAN MATEO POR PERSONA (14 UNIDADES) + DIFERENCIA MOVILIDAD 14PAX ADT_E(14)  = 22.40  01-Ago-26 | CUZ | TRANSPORTE SUPERIOR | 01 AGUA SAN MATEO POR PERSONA (14 UNIDADES) 14PAX ADT_E(14)  = 22.40  </t>
  </si>
  <si>
    <t>010022929</t>
  </si>
  <si>
    <t>010022930</t>
  </si>
  <si>
    <t xml:space="preserve">30-Jul-26 | CUZ | TRANSPORTE SUPERIOR | 01 BOTELLA DE AGUA SAN MATEO POR PERSONA (9 UNIDADES) 9PAX ADT_E(9)  = 14.40  04-Ago-26 | CUZ | TRANSPORTE SUPERIOR | 01 BOTELLA DE AGUA SAN MATEO POR PERSONA (9 UNIDADES) 9PAX ADT_E(9)  = 12.80  </t>
  </si>
  <si>
    <t>010022931</t>
  </si>
  <si>
    <t>010022932</t>
  </si>
  <si>
    <t xml:space="preserve">30-Jul-26 | CUZ | TRANSPORTE SUPERIOR | 1 BOTELLA + MOVILIDAD PARA COMPRAR 9PAX ADT_E(9)  = 11.80  </t>
  </si>
  <si>
    <t>010022933</t>
  </si>
  <si>
    <t>010023082</t>
  </si>
  <si>
    <t>E001-461</t>
  </si>
  <si>
    <t>09-Jul-26 | LIM | TRASLADISTA | 011018 - VIATICOS DE MOVILIDAD DIURNO CASA - APTO OW O V.V 2PAX ADT_E(2)  = 8.00  10-Jul-26 | LIM | TRASLADISTA | 002369 - VIATICOS DE MOVILIDAD NOCTURNO CASA - APTO OW O V.V - NOCTURNO 2PAX ADT_E(2)  = 18.00  16-Jul-26 | L</t>
  </si>
  <si>
    <t>010022368</t>
  </si>
  <si>
    <t>E001-504</t>
  </si>
  <si>
    <t>15-Jul-26 | LIM | TRASLADISTA | 011018 - VIATICOS DE MOVILIDAD DIURNO CASA - APTO OW O V.V 3PAX ADT_E(3)  = 8.00  17-Jul-26 | LIM | TRASLADISTA | 011018 - VIATICOS DE MOVILIDAD DIURNO CASA - APTO OW O V.V 3PAX ADT_E(3)  = 8.00  26-Jul-26 | LIM | TRASLADIS</t>
  </si>
  <si>
    <t>010022877</t>
  </si>
  <si>
    <t>E001-505</t>
  </si>
  <si>
    <t>09-Ago-26 | LIM | TRASLADISTA | 002369 - VIATICOS DE MOVILIDAD NOCTURNO CASA - APTO OW O V.V - (18.01 A 07:00 HRS.) 3PAX ADT_E(3)  = 18.00  11-Ago-26 | LIM | TRASLADISTA | 011018 - VIATICOS DE MOVILIDAD DIURNO CASA - APTO OW O V.V - (07:01 A 18:00 HRS.) 3</t>
  </si>
  <si>
    <t>010022318</t>
  </si>
  <si>
    <t>E001-1230</t>
  </si>
  <si>
    <t xml:space="preserve">11-Jul-26 | LIM | TRANSPORTE TURISTICO | TRF APTO KL743  - HTL CASA REPUBLICA BARRANCO  MALETERO INC. - 2HRS HYUNDAI 4PAX ADT_E(4)  = 35.40  12-Jul-26 | LIM | TRANSPORTE TURISTICO | CASA REPUBLICA BARRANCO- SANTO DOMINGO- CASA ALIAGA 4 HRS 4PAX ADT_E(4)  </t>
  </si>
  <si>
    <t>260800003</t>
  </si>
  <si>
    <t>010022690</t>
  </si>
  <si>
    <t>E001-1228</t>
  </si>
  <si>
    <t>06-Ago-26 | LIM | TRANSPORTE TURISTICO | TRF APTO VUELO UX175 - HTL SECOND HOME BARRANCO 2PAX ADT_E(2)  = 33.04  06-Ago-26 | LIM | TRANSPORTE TURISTICO | TRF HD GASTRONOMICO - 6 HRS 2PAX ADT_E(2)  = 106.20  07-Ago-26 | LIM | TRANSPORTE TURISTICO | TRF HTL</t>
  </si>
  <si>
    <t>010022675</t>
  </si>
  <si>
    <t>07-Jul-26 | VAL | TRASLADISTA | 009869 - HTL VALLE RIO SAGRADO - EST. OLLANTA 2PAX ADT_E(2)  = 25.00  08-Jul-26 | CUZ | TRASLADISTA | EST POROY - HTL MARRIOT EL CONVENTO 2PAX ADT_E(2)  = 12.00  10-Jul-26 | CUZ | TRASLADISTA | TRF HOTEL MARRIOT EL CONVENTO</t>
  </si>
  <si>
    <t>260700020</t>
  </si>
  <si>
    <t>010022629</t>
  </si>
  <si>
    <t xml:space="preserve">28-Jul-26 | CUZ | TRASLADISTA | 009860 - APTO - HTL PALACO NAZARENAS OW O V.V 2PAX ADT_E(2)  = 8.00  03-Ago-26 | CUZ | TRASLADISTA | 009860 - CUSCO HTL PALACIO NAZARENAS - APTO  OW O V.V 2PAX ADT_E(2)  = 8.00  </t>
  </si>
  <si>
    <t>E001-455</t>
  </si>
  <si>
    <t>E001-460</t>
  </si>
  <si>
    <t>ALEXCEY HUAMAN PEREVEDENTSEV G.RUSO</t>
  </si>
  <si>
    <t>010023134</t>
  </si>
  <si>
    <t xml:space="preserve">01-Ago-26 | CUZ | GUIA ENG - ESP | 001986 - FULL DAY CUSCO - MACHU PICCHU 2PAX ADT_E(2)  = 350.00  02-Ago-26 | CUZ | GUIA ENG - ESP | 001986 - FULL DAY MACHU PICCHU - CUSCO 2PAX ADT_E(2)  = 350.00  </t>
  </si>
  <si>
    <t>E001-32</t>
  </si>
  <si>
    <t>E001-637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</si>
</sst>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6">
    <xf numFmtId="0" fontId="0" fillId="0" borderId="0" xfId="0"/>
    <xf numFmtId="14" fontId="0" fillId="0" borderId="1" xfId="0" applyNumberFormat="1" applyBorder="1"/>
    <xf numFmtId="0" fontId="0" fillId="0" borderId="1" xfId="0" applyBorder="1"/>
    <xf numFmtId="43" fontId="0" fillId="0" borderId="1" xfId="1" applyFont="1" applyFill="1" applyBorder="1"/>
    <xf numFmtId="14" fontId="3" fillId="3" borderId="1" xfId="0" applyNumberFormat="1" applyFont="1" applyFill="1" applyBorder="1"/>
    <xf numFmtId="0" fontId="3" fillId="3" borderId="1" xfId="0" applyFont="1" applyFill="1" applyBorder="1"/>
    <xf numFmtId="43" fontId="3" fillId="3" borderId="1" xfId="1" applyFont="1" applyFill="1" applyBorder="1"/>
    <xf numFmtId="0" fontId="3" fillId="0" borderId="0" xfId="0" applyFont="1"/>
    <xf numFmtId="14" fontId="3" fillId="0" borderId="1" xfId="0" applyNumberFormat="1" applyFont="1" applyBorder="1"/>
    <xf numFmtId="0" fontId="3" fillId="0" borderId="1" xfId="0" applyFont="1" applyBorder="1"/>
    <xf numFmtId="43" fontId="3" fillId="0" borderId="1" xfId="1" applyFont="1" applyBorder="1"/>
    <xf numFmtId="14" fontId="0" fillId="4" borderId="1" xfId="0" applyNumberFormat="1" applyFill="1" applyBorder="1"/>
    <xf numFmtId="0" fontId="0" fillId="4" borderId="1" xfId="0" applyFill="1" applyBorder="1"/>
    <xf numFmtId="43" fontId="0" fillId="4" borderId="1" xfId="1" applyFont="1" applyFill="1" applyBorder="1"/>
    <xf numFmtId="14" fontId="3" fillId="4" borderId="1" xfId="0" applyNumberFormat="1" applyFont="1" applyFill="1" applyBorder="1"/>
    <xf numFmtId="0" fontId="3" fillId="4" borderId="1" xfId="0" applyFont="1" applyFill="1" applyBorder="1"/>
    <xf numFmtId="43" fontId="3" fillId="4" borderId="1" xfId="1" applyFont="1" applyFill="1" applyBorder="1"/>
    <xf numFmtId="0" fontId="2" fillId="2" borderId="2" xfId="0" applyFont="1" applyFill="1" applyBorder="1"/>
    <xf numFmtId="0" fontId="0" fillId="0" borderId="3" xfId="0" applyBorder="1"/>
    <xf numFmtId="14" fontId="0" fillId="0" borderId="3" xfId="0" applyNumberFormat="1" applyBorder="1"/>
    <xf numFmtId="43" fontId="0" fillId="0" borderId="3" xfId="1" applyFont="1" applyFill="1" applyBorder="1"/>
    <xf numFmtId="0" fontId="3" fillId="3" borderId="3" xfId="0" applyFont="1" applyFill="1" applyBorder="1"/>
    <xf numFmtId="14" fontId="3" fillId="3" borderId="3" xfId="0" applyNumberFormat="1" applyFont="1" applyFill="1" applyBorder="1"/>
    <xf numFmtId="43" fontId="3" fillId="3" borderId="3" xfId="1" applyFont="1" applyFill="1" applyBorder="1"/>
    <xf numFmtId="0" fontId="3" fillId="4" borderId="3" xfId="0" applyFont="1" applyFill="1" applyBorder="1"/>
    <xf numFmtId="14" fontId="3" fillId="4" borderId="3" xfId="0" applyNumberFormat="1" applyFont="1" applyFill="1" applyBorder="1"/>
    <xf numFmtId="43" fontId="3" fillId="4" borderId="3" xfId="1" applyFont="1" applyFill="1" applyBorder="1"/>
    <xf numFmtId="0" fontId="0" fillId="4" borderId="3" xfId="0" applyFill="1" applyBorder="1"/>
    <xf numFmtId="14" fontId="0" fillId="4" borderId="3" xfId="0" applyNumberFormat="1" applyFill="1" applyBorder="1"/>
    <xf numFmtId="43" fontId="0" fillId="4" borderId="3" xfId="0" applyNumberFormat="1" applyFill="1" applyBorder="1"/>
    <xf numFmtId="43" fontId="0" fillId="0" borderId="3" xfId="0" applyNumberFormat="1" applyFont="1" applyBorder="1"/>
    <xf numFmtId="0" fontId="0" fillId="5" borderId="1" xfId="0" applyFill="1" applyBorder="1"/>
    <xf numFmtId="14" fontId="0" fillId="5" borderId="1" xfId="0" applyNumberFormat="1" applyFill="1" applyBorder="1"/>
    <xf numFmtId="43" fontId="0" fillId="5" borderId="1" xfId="1" applyFont="1" applyFill="1" applyBorder="1"/>
    <xf numFmtId="0" fontId="0" fillId="0" borderId="1" xfId="0" applyFill="1" applyBorder="1"/>
    <xf numFmtId="14" fontId="0" fillId="0" borderId="1" xfId="0" applyNumberFormat="1" applyFill="1" applyBorder="1"/>
  </cellXfs>
  <cellStyles count="2">
    <cellStyle name="Millares" xfId="1" builtinId="3"/>
    <cellStyle name="Normal" xfId="0" builtinId="0"/>
  </cellStyles>
  <dxfs count="74">
    <dxf>
      <fill>
        <patternFill patternType="solid">
          <fgColor rgb="FFFFFF00"/>
          <bgColor rgb="FF000000"/>
        </patternFill>
      </fill>
    </dxf>
    <dxf>
      <border diagonalUp="0" diagonalDown="0" outline="0">
        <left/>
        <right/>
        <top style="thin">
          <color theme="9" tint="0.39997558519241921"/>
        </top>
        <bottom/>
      </border>
    </dxf>
    <dxf>
      <border diagonalUp="0" diagonalDown="0" outline="0">
        <left/>
        <right/>
        <top style="thin">
          <color theme="9" tint="0.39997558519241921"/>
        </top>
        <bottom/>
      </border>
    </dxf>
    <dxf>
      <numFmt numFmtId="19" formatCode="d/mm/yyyy"/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-* #,##0.00_-;\-* #,##0.00_-;_-* &quot;-&quot;??_-;_-@_-"/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-* #,##0.00_-;\-* #,##0.00_-;_-* &quot;-&quot;??_-;_-@_-"/>
      <border diagonalUp="0" diagonalDown="0" outline="0">
        <left/>
        <right/>
        <top style="thin">
          <color theme="9" tint="0.39997558519241921"/>
        </top>
        <bottom/>
      </border>
    </dxf>
    <dxf>
      <border diagonalUp="0" diagonalDown="0" outline="0">
        <left/>
        <right/>
        <top style="thin">
          <color theme="9" tint="0.39997558519241921"/>
        </top>
        <bottom/>
      </border>
    </dxf>
    <dxf>
      <border diagonalUp="0" diagonalDown="0" outline="0">
        <left/>
        <right/>
        <top style="thin">
          <color theme="9" tint="0.39997558519241921"/>
        </top>
        <bottom/>
      </border>
    </dxf>
    <dxf>
      <border diagonalUp="0" diagonalDown="0" outline="0">
        <left/>
        <right/>
        <top style="thin">
          <color theme="9" tint="0.39997558519241921"/>
        </top>
        <bottom/>
      </border>
    </dxf>
    <dxf>
      <numFmt numFmtId="19" formatCode="d/mm/yyyy"/>
      <border diagonalUp="0" diagonalDown="0" outline="0">
        <left/>
        <right/>
        <top style="thin">
          <color theme="9" tint="0.39997558519241921"/>
        </top>
        <bottom/>
      </border>
    </dxf>
    <dxf>
      <border diagonalUp="0" diagonalDown="0" outline="0">
        <left/>
        <right/>
        <top style="thin">
          <color theme="9" tint="0.39997558519241921"/>
        </top>
        <bottom/>
      </border>
    </dxf>
    <dxf>
      <fill>
        <patternFill patternType="solid">
          <fgColor indexed="64"/>
          <bgColor theme="4" tint="0.39997558519241921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fill>
        <patternFill patternType="solid">
          <fgColor indexed="64"/>
          <bgColor theme="4" tint="0.39997558519241921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indexed="64"/>
          <bgColor theme="4" tint="0.39997558519241921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fill>
        <patternFill patternType="solid">
          <fgColor indexed="64"/>
          <bgColor theme="4" tint="0.39997558519241921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19" formatCode="d/mm/yyyy"/>
      <fill>
        <patternFill patternType="solid">
          <fgColor indexed="64"/>
          <bgColor theme="4" tint="0.39997558519241921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numFmt numFmtId="19" formatCode="d/mm/yyyy"/>
      <fill>
        <patternFill patternType="solid">
          <fgColor indexed="64"/>
          <bgColor theme="4" tint="0.39997558519241921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-* #,##0.00_-;\-* #,##0.00_-;_-* &quot;-&quot;??_-;_-@_-"/>
      <fill>
        <patternFill patternType="solid">
          <fgColor indexed="64"/>
          <bgColor theme="4" tint="0.39997558519241921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39997558519241921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-* #,##0.00_-;\-* #,##0.00_-;_-* &quot;-&quot;??_-;_-@_-"/>
      <fill>
        <patternFill patternType="solid">
          <fgColor indexed="64"/>
          <bgColor theme="4" tint="0.39997558519241921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39997558519241921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indexed="64"/>
          <bgColor theme="4" tint="0.39997558519241921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fill>
        <patternFill patternType="solid">
          <fgColor indexed="64"/>
          <bgColor theme="4" tint="0.39997558519241921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indexed="64"/>
          <bgColor theme="4" tint="0.39997558519241921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fill>
        <patternFill patternType="solid">
          <fgColor indexed="64"/>
          <bgColor theme="4" tint="0.39997558519241921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indexed="64"/>
          <bgColor theme="4" tint="0.39997558519241921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fill>
        <patternFill patternType="solid">
          <fgColor indexed="64"/>
          <bgColor theme="4" tint="0.39997558519241921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19" formatCode="d/mm/yyyy"/>
      <fill>
        <patternFill patternType="solid">
          <fgColor indexed="64"/>
          <bgColor theme="4" tint="0.39997558519241921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numFmt numFmtId="19" formatCode="d/mm/yyyy"/>
      <fill>
        <patternFill patternType="solid">
          <fgColor indexed="64"/>
          <bgColor theme="4" tint="0.39997558519241921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indexed="64"/>
          <bgColor theme="4" tint="0.39997558519241921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fill>
        <patternFill patternType="solid">
          <fgColor indexed="64"/>
          <bgColor theme="4" tint="0.39997558519241921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39997558519241921"/>
        </patternFill>
      </fill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  <dxf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19" formatCode="d/mm/yyyy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19" formatCode="d/mm/yyyy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9" formatCode="d/mm/yyyy"/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9" formatCode="d/mm/yyyy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9" formatCode="d/mm/yyyy"/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9" formatCode="d/mm/yyyy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171B38-544B-48D8-97D4-1128F59D0472}" name="Tabla1" displayName="Tabla1" ref="A1:J69" totalsRowCount="1" headerRowDxfId="49" headerRowBorderDxfId="48" tableBorderDxfId="47" totalsRowBorderDxfId="46">
  <autoFilter ref="A1:J68" xr:uid="{14171B38-544B-48D8-97D4-1128F59D0472}">
    <filterColumn colId="4">
      <colorFilter dxfId="0"/>
    </filterColumn>
  </autoFilter>
  <sortState xmlns:xlrd2="http://schemas.microsoft.com/office/spreadsheetml/2017/richdata2" ref="A2:J68">
    <sortCondition ref="H1:H68"/>
  </sortState>
  <tableColumns count="10">
    <tableColumn id="1" xr3:uid="{7077D23B-9A80-48E6-9567-D9E1F81C367F}" name="File" dataDxfId="45" totalsRowDxfId="10"/>
    <tableColumn id="2" xr3:uid="{812064CA-09A5-408F-9B90-DE120B138666}" name="FechaEmision" dataDxfId="44" totalsRowDxfId="9"/>
    <tableColumn id="3" xr3:uid="{91E44CC9-2CF4-4E2A-A606-CBFDADA2D93C}" name="Tipo" dataDxfId="43" totalsRowDxfId="8"/>
    <tableColumn id="4" xr3:uid="{58984916-E46A-4428-BB2C-B1582C09029C}" name="Proveedor" dataDxfId="42" totalsRowDxfId="7"/>
    <tableColumn id="5" xr3:uid="{CA28334F-303B-48C9-BE32-D11BE6721249}" name="Solicitud" dataDxfId="41" totalsRowDxfId="6"/>
    <tableColumn id="6" xr3:uid="{546AAA1B-7B2B-4FCF-9E51-6DA702B25502}" name="USD" totalsRowFunction="sum" dataDxfId="40" totalsRowDxfId="5" dataCellStyle="Millares"/>
    <tableColumn id="7" xr3:uid="{77678A67-B463-4D04-BDBF-3371ED6268DB}" name="PEN" totalsRowFunction="sum" dataDxfId="39" totalsRowDxfId="4" dataCellStyle="Millares"/>
    <tableColumn id="8" xr3:uid="{4B3416D4-AE37-4F1B-8168-9B3414A6674E}" name="FechaVcto" dataDxfId="38" totalsRowDxfId="3"/>
    <tableColumn id="9" xr3:uid="{03965FB9-0F49-4C5B-9501-8645CC60C70E}" name="Comentario" dataDxfId="37" totalsRowDxfId="2"/>
    <tableColumn id="10" xr3:uid="{E5766705-C983-4B91-AC9B-CCA82CC6E6AA}" name="Detalle" dataDxfId="36" totalsRowDxfId="1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5EA86F3-ED5C-4487-A76C-04EB4B22EBE4}" name="Tabla2" displayName="Tabla2" ref="A1:J53" totalsRowCount="1" headerRowDxfId="73" headerRowBorderDxfId="72" tableBorderDxfId="71" totalsRowBorderDxfId="70">
  <autoFilter ref="A1:J52" xr:uid="{D5EA86F3-ED5C-4487-A76C-04EB4B22EBE4}"/>
  <tableColumns count="10">
    <tableColumn id="1" xr3:uid="{4A4A375C-599C-4B79-98A5-591029113504}" name="File" dataDxfId="69" totalsRowDxfId="68"/>
    <tableColumn id="2" xr3:uid="{C33C3B45-51E7-41E5-8A70-C53D0A97D464}" name="FechaEmision" dataDxfId="67" totalsRowDxfId="66"/>
    <tableColumn id="3" xr3:uid="{FCAF746B-3413-4DAD-BC1E-14C21864848F}" name="Tipo" dataDxfId="65" totalsRowDxfId="64"/>
    <tableColumn id="4" xr3:uid="{F5289B8F-F66C-4F5E-BA45-29E19A86D262}" name="Proveedor" dataDxfId="63" totalsRowDxfId="62"/>
    <tableColumn id="5" xr3:uid="{CE57568C-3865-4A36-8511-684FBF0F3F0E}" name="Solicitud" dataDxfId="61" totalsRowDxfId="60"/>
    <tableColumn id="6" xr3:uid="{975F2520-948D-45F6-9DB5-7C5A509FF167}" name="USD" totalsRowFunction="sum" dataDxfId="59" totalsRowDxfId="58" dataCellStyle="Millares" totalsRowCellStyle="Millares"/>
    <tableColumn id="7" xr3:uid="{4F202C18-6CC4-4BD4-ABAB-D28C0D75D1AE}" name="PEN" totalsRowFunction="sum" dataDxfId="57" totalsRowDxfId="56" dataCellStyle="Millares" totalsRowCellStyle="Millares"/>
    <tableColumn id="8" xr3:uid="{AD613A5B-385A-4F14-BDED-EE49DAF98FC5}" name="FechaVcto" dataDxfId="55" totalsRowDxfId="54"/>
    <tableColumn id="9" xr3:uid="{89787663-7798-4217-9313-D9AD0F03D9F0}" name="Comentario" dataDxfId="53" totalsRowDxfId="52"/>
    <tableColumn id="10" xr3:uid="{9BB756B4-126C-4B16-95FF-B2DA57D8FF3E}" name="Detalle" dataDxfId="51" totalsRowDxfId="5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7F19EC1-4F77-43DE-994E-B6B469C45252}" name="Tabla3" displayName="Tabla3" ref="A1:J17" totalsRowCount="1" headerRowDxfId="35" dataDxfId="33" headerRowBorderDxfId="34" tableBorderDxfId="32" totalsRowBorderDxfId="31" dataCellStyle="Millares">
  <autoFilter ref="A1:J16" xr:uid="{A7F19EC1-4F77-43DE-994E-B6B469C45252}"/>
  <tableColumns count="10">
    <tableColumn id="1" xr3:uid="{C8E6DD7C-2EC2-433E-982A-E6BBEA8F5F5D}" name="File" dataDxfId="30" totalsRowDxfId="29"/>
    <tableColumn id="2" xr3:uid="{1563B8B0-B13E-4817-97CA-B1E61D89DB13}" name="FechaEmision" dataDxfId="28" totalsRowDxfId="27"/>
    <tableColumn id="3" xr3:uid="{CF723807-58D3-49B9-9E1D-A1592540653E}" name="Tipo" dataDxfId="26" totalsRowDxfId="25"/>
    <tableColumn id="4" xr3:uid="{FDF7AA1F-DCAA-40E1-A14F-75F6210D3F95}" name="Proveedor" dataDxfId="24" totalsRowDxfId="23"/>
    <tableColumn id="5" xr3:uid="{D0F15BDF-77EE-4738-B8C6-0B39749F7F20}" name="Solicitud" dataDxfId="22" totalsRowDxfId="21"/>
    <tableColumn id="6" xr3:uid="{B758C9B0-2031-46E0-BEEA-72CBF8E8075A}" name="USD" totalsRowFunction="sum" dataDxfId="20" totalsRowDxfId="19" dataCellStyle="Millares"/>
    <tableColumn id="7" xr3:uid="{9315122B-FEA0-4528-A2FA-E865F518CB4E}" name="PEN" totalsRowFunction="sum" dataDxfId="18" totalsRowDxfId="17" dataCellStyle="Millares"/>
    <tableColumn id="8" xr3:uid="{44D12FA0-951D-4E83-9ABC-220D0036E51D}" name="FechaVcto" dataDxfId="16" totalsRowDxfId="15"/>
    <tableColumn id="9" xr3:uid="{0FA7BBB4-9BFA-438F-92AD-8DDBF07F0D6A}" name="Comentario" dataDxfId="14" totalsRowDxfId="13"/>
    <tableColumn id="10" xr3:uid="{CA66B80A-7D1E-4729-9E7F-43AE74CDC2F5}" name="Detalle" dataDxfId="12" totalsRowDxf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F2F65-11FC-44B9-A207-C34A14D7AA29}">
  <dimension ref="A1:J69"/>
  <sheetViews>
    <sheetView showGridLines="0" tabSelected="1" workbookViewId="0">
      <selection activeCell="H8" sqref="H8"/>
    </sheetView>
  </sheetViews>
  <sheetFormatPr baseColWidth="10" defaultRowHeight="15" x14ac:dyDescent="0.25"/>
  <cols>
    <col min="2" max="2" width="15.7109375" customWidth="1"/>
    <col min="4" max="4" width="50.42578125" bestFit="1" customWidth="1"/>
    <col min="8" max="8" width="12.42578125" customWidth="1"/>
    <col min="9" max="9" width="18.140625" bestFit="1" customWidth="1"/>
    <col min="10" max="10" width="71.5703125" customWidth="1"/>
  </cols>
  <sheetData>
    <row r="1" spans="1:10" x14ac:dyDescent="0.2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</row>
    <row r="2" spans="1:10" x14ac:dyDescent="0.25">
      <c r="A2" s="31">
        <v>260700018</v>
      </c>
      <c r="B2" s="32">
        <v>46171</v>
      </c>
      <c r="C2" s="31" t="s">
        <v>11</v>
      </c>
      <c r="D2" s="31" t="s">
        <v>116</v>
      </c>
      <c r="E2" s="31" t="s">
        <v>117</v>
      </c>
      <c r="F2" s="33">
        <v>254</v>
      </c>
      <c r="G2" s="33"/>
      <c r="H2" s="32">
        <v>46206</v>
      </c>
      <c r="I2" s="31" t="s">
        <v>118</v>
      </c>
      <c r="J2" s="31" t="s">
        <v>119</v>
      </c>
    </row>
    <row r="3" spans="1:10" x14ac:dyDescent="0.25">
      <c r="A3" s="31">
        <v>260700020</v>
      </c>
      <c r="B3" s="32">
        <v>46253</v>
      </c>
      <c r="C3" s="31" t="s">
        <v>11</v>
      </c>
      <c r="D3" s="31" t="s">
        <v>374</v>
      </c>
      <c r="E3" s="31" t="s">
        <v>375</v>
      </c>
      <c r="F3" s="33">
        <v>700</v>
      </c>
      <c r="G3" s="33"/>
      <c r="H3" s="32">
        <v>46253</v>
      </c>
      <c r="I3" s="31" t="s">
        <v>377</v>
      </c>
      <c r="J3" s="31" t="s">
        <v>376</v>
      </c>
    </row>
    <row r="4" spans="1:10" x14ac:dyDescent="0.25">
      <c r="A4" s="31">
        <v>260700014</v>
      </c>
      <c r="B4" s="32">
        <v>46205</v>
      </c>
      <c r="C4" s="31" t="s">
        <v>11</v>
      </c>
      <c r="D4" s="31" t="s">
        <v>12</v>
      </c>
      <c r="E4" s="31" t="s">
        <v>17</v>
      </c>
      <c r="F4" s="33">
        <v>90</v>
      </c>
      <c r="G4" s="33"/>
      <c r="H4" s="32">
        <v>46213</v>
      </c>
      <c r="I4" s="31" t="s">
        <v>18</v>
      </c>
      <c r="J4" s="31" t="s">
        <v>19</v>
      </c>
    </row>
    <row r="5" spans="1:10" x14ac:dyDescent="0.25">
      <c r="A5" s="31">
        <v>260700011</v>
      </c>
      <c r="B5" s="32">
        <v>46245</v>
      </c>
      <c r="C5" s="31" t="s">
        <v>11</v>
      </c>
      <c r="D5" s="31" t="s">
        <v>223</v>
      </c>
      <c r="E5" s="31" t="s">
        <v>224</v>
      </c>
      <c r="F5" s="33">
        <v>135</v>
      </c>
      <c r="G5" s="33"/>
      <c r="H5" s="32">
        <v>46214</v>
      </c>
      <c r="I5" s="31" t="s">
        <v>225</v>
      </c>
      <c r="J5" s="31" t="s">
        <v>226</v>
      </c>
    </row>
    <row r="6" spans="1:10" x14ac:dyDescent="0.25">
      <c r="A6" s="31">
        <v>260700011</v>
      </c>
      <c r="B6" s="32">
        <v>46176</v>
      </c>
      <c r="C6" s="31" t="s">
        <v>11</v>
      </c>
      <c r="D6" s="31" t="s">
        <v>205</v>
      </c>
      <c r="E6" s="31" t="s">
        <v>215</v>
      </c>
      <c r="F6" s="33">
        <v>89</v>
      </c>
      <c r="G6" s="33"/>
      <c r="H6" s="32">
        <v>46218</v>
      </c>
      <c r="I6" s="31" t="s">
        <v>378</v>
      </c>
      <c r="J6" s="31" t="s">
        <v>216</v>
      </c>
    </row>
    <row r="7" spans="1:10" x14ac:dyDescent="0.25">
      <c r="A7" s="31">
        <v>260600017</v>
      </c>
      <c r="B7" s="32">
        <v>46204</v>
      </c>
      <c r="C7" s="31" t="s">
        <v>11</v>
      </c>
      <c r="D7" s="31" t="s">
        <v>183</v>
      </c>
      <c r="E7" s="31" t="s">
        <v>186</v>
      </c>
      <c r="F7" s="33">
        <v>87</v>
      </c>
      <c r="G7" s="33"/>
      <c r="H7" s="32">
        <v>46220</v>
      </c>
      <c r="I7" s="31" t="s">
        <v>187</v>
      </c>
      <c r="J7" s="31" t="s">
        <v>188</v>
      </c>
    </row>
    <row r="8" spans="1:10" x14ac:dyDescent="0.25">
      <c r="A8" s="31">
        <v>260700003</v>
      </c>
      <c r="B8" s="32">
        <v>46178</v>
      </c>
      <c r="C8" s="31" t="s">
        <v>11</v>
      </c>
      <c r="D8" s="31" t="s">
        <v>183</v>
      </c>
      <c r="E8" s="31" t="s">
        <v>300</v>
      </c>
      <c r="F8" s="33">
        <v>74</v>
      </c>
      <c r="G8" s="33"/>
      <c r="H8" s="32">
        <v>46220</v>
      </c>
      <c r="I8" s="31" t="s">
        <v>373</v>
      </c>
      <c r="J8" s="31" t="s">
        <v>301</v>
      </c>
    </row>
    <row r="9" spans="1:10" x14ac:dyDescent="0.25">
      <c r="A9" s="31">
        <v>260700009</v>
      </c>
      <c r="B9" s="32">
        <v>46175</v>
      </c>
      <c r="C9" s="31" t="s">
        <v>11</v>
      </c>
      <c r="D9" s="31" t="s">
        <v>57</v>
      </c>
      <c r="E9" s="31" t="s">
        <v>58</v>
      </c>
      <c r="F9" s="33">
        <v>521.4</v>
      </c>
      <c r="G9" s="33"/>
      <c r="H9" s="32">
        <v>46221</v>
      </c>
      <c r="I9" s="31" t="s">
        <v>59</v>
      </c>
      <c r="J9" s="31" t="s">
        <v>60</v>
      </c>
    </row>
    <row r="10" spans="1:10" x14ac:dyDescent="0.25">
      <c r="A10" s="31">
        <v>260700005</v>
      </c>
      <c r="B10" s="32">
        <v>46176</v>
      </c>
      <c r="C10" s="31" t="s">
        <v>11</v>
      </c>
      <c r="D10" s="31" t="s">
        <v>72</v>
      </c>
      <c r="E10" s="31" t="s">
        <v>73</v>
      </c>
      <c r="F10" s="33">
        <v>306.89999999999998</v>
      </c>
      <c r="G10" s="33"/>
      <c r="H10" s="32">
        <v>46221</v>
      </c>
      <c r="I10" s="31" t="s">
        <v>74</v>
      </c>
      <c r="J10" s="31" t="s">
        <v>75</v>
      </c>
    </row>
    <row r="11" spans="1:10" x14ac:dyDescent="0.25">
      <c r="A11" s="31">
        <v>260700005</v>
      </c>
      <c r="B11" s="32">
        <v>46176</v>
      </c>
      <c r="C11" s="31" t="s">
        <v>11</v>
      </c>
      <c r="D11" s="31" t="s">
        <v>72</v>
      </c>
      <c r="E11" s="31" t="s">
        <v>76</v>
      </c>
      <c r="F11" s="33">
        <v>306.89999999999998</v>
      </c>
      <c r="G11" s="33"/>
      <c r="H11" s="32">
        <v>46221</v>
      </c>
      <c r="I11" s="31" t="s">
        <v>74</v>
      </c>
      <c r="J11" s="31" t="s">
        <v>77</v>
      </c>
    </row>
    <row r="12" spans="1:10" x14ac:dyDescent="0.25">
      <c r="A12" s="31">
        <v>260700017</v>
      </c>
      <c r="B12" s="32">
        <v>46184</v>
      </c>
      <c r="C12" s="31" t="s">
        <v>11</v>
      </c>
      <c r="D12" s="31" t="s">
        <v>132</v>
      </c>
      <c r="E12" s="31" t="s">
        <v>136</v>
      </c>
      <c r="F12" s="33">
        <v>354</v>
      </c>
      <c r="G12" s="33"/>
      <c r="H12" s="32">
        <v>46223</v>
      </c>
      <c r="I12" s="31" t="s">
        <v>137</v>
      </c>
      <c r="J12" s="31" t="s">
        <v>138</v>
      </c>
    </row>
    <row r="13" spans="1:10" x14ac:dyDescent="0.25">
      <c r="A13" s="31">
        <v>260700004</v>
      </c>
      <c r="B13" s="32">
        <v>46181</v>
      </c>
      <c r="C13" s="31" t="s">
        <v>11</v>
      </c>
      <c r="D13" s="31" t="s">
        <v>12</v>
      </c>
      <c r="E13" s="31" t="s">
        <v>13</v>
      </c>
      <c r="F13" s="33">
        <v>75</v>
      </c>
      <c r="G13" s="33"/>
      <c r="H13" s="32">
        <v>46225</v>
      </c>
      <c r="I13" s="31" t="s">
        <v>14</v>
      </c>
      <c r="J13" s="31" t="s">
        <v>15</v>
      </c>
    </row>
    <row r="14" spans="1:10" hidden="1" x14ac:dyDescent="0.25">
      <c r="A14" s="2">
        <v>260700017</v>
      </c>
      <c r="B14" s="1">
        <v>46183</v>
      </c>
      <c r="C14" s="2" t="s">
        <v>11</v>
      </c>
      <c r="D14" s="2" t="s">
        <v>42</v>
      </c>
      <c r="E14" s="2" t="s">
        <v>43</v>
      </c>
      <c r="F14" s="3">
        <v>256.92</v>
      </c>
      <c r="G14" s="3"/>
      <c r="H14" s="1">
        <v>46225</v>
      </c>
      <c r="I14" s="2" t="s">
        <v>44</v>
      </c>
      <c r="J14" s="2" t="s">
        <v>45</v>
      </c>
    </row>
    <row r="15" spans="1:10" hidden="1" x14ac:dyDescent="0.25">
      <c r="A15" s="34">
        <v>260700004</v>
      </c>
      <c r="B15" s="35">
        <v>46185</v>
      </c>
      <c r="C15" s="34" t="s">
        <v>11</v>
      </c>
      <c r="D15" s="34" t="s">
        <v>132</v>
      </c>
      <c r="E15" s="34" t="s">
        <v>133</v>
      </c>
      <c r="F15" s="3">
        <v>306.5</v>
      </c>
      <c r="G15" s="3"/>
      <c r="H15" s="35">
        <v>46225</v>
      </c>
      <c r="I15" s="34" t="s">
        <v>134</v>
      </c>
      <c r="J15" s="34" t="s">
        <v>135</v>
      </c>
    </row>
    <row r="16" spans="1:10" x14ac:dyDescent="0.25">
      <c r="A16" s="31">
        <v>260700017</v>
      </c>
      <c r="B16" s="32">
        <v>46183</v>
      </c>
      <c r="C16" s="31" t="s">
        <v>11</v>
      </c>
      <c r="D16" s="31" t="s">
        <v>205</v>
      </c>
      <c r="E16" s="31" t="s">
        <v>217</v>
      </c>
      <c r="F16" s="33">
        <v>103</v>
      </c>
      <c r="G16" s="33"/>
      <c r="H16" s="32">
        <v>46225</v>
      </c>
      <c r="I16" s="31" t="s">
        <v>218</v>
      </c>
      <c r="J16" s="31" t="s">
        <v>219</v>
      </c>
    </row>
    <row r="17" spans="1:10" hidden="1" x14ac:dyDescent="0.25">
      <c r="A17" s="34">
        <v>260700005</v>
      </c>
      <c r="B17" s="35">
        <v>46183</v>
      </c>
      <c r="C17" s="34" t="s">
        <v>11</v>
      </c>
      <c r="D17" s="34" t="s">
        <v>65</v>
      </c>
      <c r="E17" s="34" t="s">
        <v>66</v>
      </c>
      <c r="F17" s="3">
        <v>230.37</v>
      </c>
      <c r="G17" s="3"/>
      <c r="H17" s="35">
        <v>46226</v>
      </c>
      <c r="I17" s="34" t="s">
        <v>67</v>
      </c>
      <c r="J17" s="34" t="s">
        <v>68</v>
      </c>
    </row>
    <row r="18" spans="1:10" hidden="1" x14ac:dyDescent="0.25">
      <c r="A18" s="34">
        <v>260700005</v>
      </c>
      <c r="B18" s="35">
        <v>46183</v>
      </c>
      <c r="C18" s="34" t="s">
        <v>11</v>
      </c>
      <c r="D18" s="34" t="s">
        <v>65</v>
      </c>
      <c r="E18" s="34" t="s">
        <v>69</v>
      </c>
      <c r="F18" s="3">
        <v>330.74</v>
      </c>
      <c r="G18" s="3"/>
      <c r="H18" s="35">
        <v>46226</v>
      </c>
      <c r="I18" s="34" t="s">
        <v>70</v>
      </c>
      <c r="J18" s="34" t="s">
        <v>71</v>
      </c>
    </row>
    <row r="19" spans="1:10" x14ac:dyDescent="0.25">
      <c r="A19" s="31">
        <v>260700019</v>
      </c>
      <c r="B19" s="32">
        <v>46218</v>
      </c>
      <c r="C19" s="31" t="s">
        <v>11</v>
      </c>
      <c r="D19" s="31" t="s">
        <v>12</v>
      </c>
      <c r="E19" s="31" t="s">
        <v>21</v>
      </c>
      <c r="F19" s="33">
        <v>180</v>
      </c>
      <c r="G19" s="33"/>
      <c r="H19" s="32">
        <v>46227</v>
      </c>
      <c r="I19" s="31" t="s">
        <v>22</v>
      </c>
      <c r="J19" s="31" t="s">
        <v>23</v>
      </c>
    </row>
    <row r="20" spans="1:10" x14ac:dyDescent="0.25">
      <c r="A20" s="31">
        <v>260700010</v>
      </c>
      <c r="B20" s="32">
        <v>46213</v>
      </c>
      <c r="C20" s="31" t="s">
        <v>11</v>
      </c>
      <c r="D20" s="31" t="s">
        <v>61</v>
      </c>
      <c r="E20" s="31" t="s">
        <v>62</v>
      </c>
      <c r="F20" s="33">
        <v>301.39999999999998</v>
      </c>
      <c r="G20" s="33"/>
      <c r="H20" s="32">
        <v>46227</v>
      </c>
      <c r="I20" s="31" t="s">
        <v>63</v>
      </c>
      <c r="J20" s="31" t="s">
        <v>64</v>
      </c>
    </row>
    <row r="21" spans="1:10" x14ac:dyDescent="0.25">
      <c r="A21" s="31">
        <v>260700011</v>
      </c>
      <c r="B21" s="32">
        <v>46219</v>
      </c>
      <c r="C21" s="31" t="s">
        <v>11</v>
      </c>
      <c r="D21" s="31" t="s">
        <v>101</v>
      </c>
      <c r="E21" s="31" t="s">
        <v>102</v>
      </c>
      <c r="F21" s="33">
        <v>64</v>
      </c>
      <c r="G21" s="33"/>
      <c r="H21" s="32">
        <v>46227</v>
      </c>
      <c r="I21" s="31" t="s">
        <v>103</v>
      </c>
      <c r="J21" s="31" t="s">
        <v>104</v>
      </c>
    </row>
    <row r="22" spans="1:10" x14ac:dyDescent="0.25">
      <c r="A22" s="31">
        <v>260700003</v>
      </c>
      <c r="B22" s="32">
        <v>46233</v>
      </c>
      <c r="C22" s="31" t="s">
        <v>11</v>
      </c>
      <c r="D22" s="31" t="s">
        <v>205</v>
      </c>
      <c r="E22" s="31" t="s">
        <v>206</v>
      </c>
      <c r="F22" s="33">
        <v>40</v>
      </c>
      <c r="G22" s="33"/>
      <c r="H22" s="32">
        <v>46227</v>
      </c>
      <c r="I22" s="31" t="s">
        <v>207</v>
      </c>
      <c r="J22" s="31" t="s">
        <v>208</v>
      </c>
    </row>
    <row r="23" spans="1:10" x14ac:dyDescent="0.25">
      <c r="A23" s="31">
        <v>260700009</v>
      </c>
      <c r="B23" s="32">
        <v>46178</v>
      </c>
      <c r="C23" s="31" t="s">
        <v>11</v>
      </c>
      <c r="D23" s="31" t="s">
        <v>205</v>
      </c>
      <c r="E23" s="31" t="s">
        <v>212</v>
      </c>
      <c r="F23" s="33">
        <v>43</v>
      </c>
      <c r="G23" s="33"/>
      <c r="H23" s="32">
        <v>46227</v>
      </c>
      <c r="I23" s="31" t="s">
        <v>213</v>
      </c>
      <c r="J23" s="31" t="s">
        <v>214</v>
      </c>
    </row>
    <row r="24" spans="1:10" hidden="1" x14ac:dyDescent="0.25">
      <c r="A24" s="2">
        <v>260700011</v>
      </c>
      <c r="B24" s="1">
        <v>46175</v>
      </c>
      <c r="C24" s="2" t="s">
        <v>11</v>
      </c>
      <c r="D24" s="2" t="s">
        <v>72</v>
      </c>
      <c r="E24" s="2" t="s">
        <v>78</v>
      </c>
      <c r="F24" s="3">
        <v>226.6</v>
      </c>
      <c r="G24" s="3"/>
      <c r="H24" s="1">
        <v>46230</v>
      </c>
      <c r="I24" s="2" t="s">
        <v>79</v>
      </c>
      <c r="J24" s="2" t="s">
        <v>80</v>
      </c>
    </row>
    <row r="25" spans="1:10" hidden="1" x14ac:dyDescent="0.25">
      <c r="A25" s="2">
        <v>260700009</v>
      </c>
      <c r="B25" s="1">
        <v>46178</v>
      </c>
      <c r="C25" s="2" t="s">
        <v>11</v>
      </c>
      <c r="D25" s="2" t="s">
        <v>161</v>
      </c>
      <c r="E25" s="2" t="s">
        <v>168</v>
      </c>
      <c r="F25" s="3">
        <v>1254.8800000000001</v>
      </c>
      <c r="G25" s="3"/>
      <c r="H25" s="1">
        <v>46230</v>
      </c>
      <c r="I25" s="2" t="s">
        <v>169</v>
      </c>
      <c r="J25" s="2" t="s">
        <v>170</v>
      </c>
    </row>
    <row r="26" spans="1:10" x14ac:dyDescent="0.25">
      <c r="A26" s="31">
        <v>260700004</v>
      </c>
      <c r="B26" s="32">
        <v>46181</v>
      </c>
      <c r="C26" s="31" t="s">
        <v>11</v>
      </c>
      <c r="D26" s="31" t="s">
        <v>205</v>
      </c>
      <c r="E26" s="31" t="s">
        <v>209</v>
      </c>
      <c r="F26" s="33">
        <v>69</v>
      </c>
      <c r="G26" s="33"/>
      <c r="H26" s="32">
        <v>46232</v>
      </c>
      <c r="I26" s="31" t="s">
        <v>210</v>
      </c>
      <c r="J26" s="31" t="s">
        <v>211</v>
      </c>
    </row>
    <row r="27" spans="1:10" x14ac:dyDescent="0.25">
      <c r="A27" s="31">
        <v>260700009</v>
      </c>
      <c r="B27" s="32">
        <v>46178</v>
      </c>
      <c r="C27" s="31" t="s">
        <v>11</v>
      </c>
      <c r="D27" s="31" t="s">
        <v>25</v>
      </c>
      <c r="E27" s="31" t="s">
        <v>26</v>
      </c>
      <c r="F27" s="33">
        <v>363.64</v>
      </c>
      <c r="G27" s="33"/>
      <c r="H27" s="32">
        <v>46234</v>
      </c>
      <c r="I27" s="31" t="s">
        <v>27</v>
      </c>
      <c r="J27" s="31" t="s">
        <v>28</v>
      </c>
    </row>
    <row r="28" spans="1:10" hidden="1" x14ac:dyDescent="0.25">
      <c r="A28" s="2">
        <v>260700017</v>
      </c>
      <c r="B28" s="1">
        <v>46183</v>
      </c>
      <c r="C28" s="2" t="s">
        <v>11</v>
      </c>
      <c r="D28" s="2" t="s">
        <v>87</v>
      </c>
      <c r="E28" s="2" t="s">
        <v>91</v>
      </c>
      <c r="F28" s="3">
        <v>424.35</v>
      </c>
      <c r="G28" s="3"/>
      <c r="H28" s="1">
        <v>46234</v>
      </c>
      <c r="I28" s="2" t="s">
        <v>92</v>
      </c>
      <c r="J28" s="2" t="s">
        <v>93</v>
      </c>
    </row>
    <row r="29" spans="1:10" hidden="1" x14ac:dyDescent="0.25">
      <c r="A29" s="2">
        <v>260700019</v>
      </c>
      <c r="B29" s="1">
        <v>46218</v>
      </c>
      <c r="C29" s="2" t="s">
        <v>11</v>
      </c>
      <c r="D29" s="2" t="s">
        <v>144</v>
      </c>
      <c r="E29" s="2" t="s">
        <v>145</v>
      </c>
      <c r="F29" s="3">
        <v>185</v>
      </c>
      <c r="G29" s="3"/>
      <c r="H29" s="1">
        <v>46234</v>
      </c>
      <c r="I29" s="2" t="s">
        <v>146</v>
      </c>
      <c r="J29" s="2" t="s">
        <v>147</v>
      </c>
    </row>
    <row r="30" spans="1:10" hidden="1" x14ac:dyDescent="0.25">
      <c r="A30" s="2">
        <v>260700019</v>
      </c>
      <c r="B30" s="1">
        <v>46218</v>
      </c>
      <c r="C30" s="2" t="s">
        <v>11</v>
      </c>
      <c r="D30" s="2" t="s">
        <v>144</v>
      </c>
      <c r="E30" s="2" t="s">
        <v>148</v>
      </c>
      <c r="F30" s="3">
        <v>185</v>
      </c>
      <c r="G30" s="3"/>
      <c r="H30" s="1">
        <v>46234</v>
      </c>
      <c r="I30" s="2" t="s">
        <v>146</v>
      </c>
      <c r="J30" s="2" t="s">
        <v>147</v>
      </c>
    </row>
    <row r="31" spans="1:10" x14ac:dyDescent="0.25">
      <c r="A31" s="31">
        <v>260700009</v>
      </c>
      <c r="B31" s="32">
        <v>46178</v>
      </c>
      <c r="C31" s="31" t="s">
        <v>11</v>
      </c>
      <c r="D31" s="31" t="s">
        <v>153</v>
      </c>
      <c r="E31" s="31" t="s">
        <v>154</v>
      </c>
      <c r="F31" s="33">
        <v>400</v>
      </c>
      <c r="G31" s="33"/>
      <c r="H31" s="32">
        <v>46234</v>
      </c>
      <c r="I31" s="31" t="s">
        <v>155</v>
      </c>
      <c r="J31" s="31" t="s">
        <v>156</v>
      </c>
    </row>
    <row r="32" spans="1:10" hidden="1" x14ac:dyDescent="0.25">
      <c r="A32" s="2">
        <v>260700009</v>
      </c>
      <c r="B32" s="1">
        <v>46178</v>
      </c>
      <c r="C32" s="2" t="s">
        <v>11</v>
      </c>
      <c r="D32" s="2" t="s">
        <v>183</v>
      </c>
      <c r="E32" s="2" t="s">
        <v>189</v>
      </c>
      <c r="F32" s="3">
        <v>87</v>
      </c>
      <c r="G32" s="3"/>
      <c r="H32" s="1">
        <v>46234</v>
      </c>
      <c r="I32" s="2" t="s">
        <v>190</v>
      </c>
      <c r="J32" s="2" t="s">
        <v>191</v>
      </c>
    </row>
    <row r="33" spans="1:10" x14ac:dyDescent="0.25">
      <c r="A33" s="31">
        <v>260700019</v>
      </c>
      <c r="B33" s="32">
        <v>46218</v>
      </c>
      <c r="C33" s="31" t="s">
        <v>11</v>
      </c>
      <c r="D33" s="31" t="s">
        <v>205</v>
      </c>
      <c r="E33" s="31" t="s">
        <v>220</v>
      </c>
      <c r="F33" s="33">
        <v>40</v>
      </c>
      <c r="G33" s="33"/>
      <c r="H33" s="32">
        <v>46234</v>
      </c>
      <c r="I33" s="31" t="s">
        <v>221</v>
      </c>
      <c r="J33" s="31" t="s">
        <v>222</v>
      </c>
    </row>
    <row r="34" spans="1:10" hidden="1" x14ac:dyDescent="0.25">
      <c r="A34" s="2">
        <v>260700004</v>
      </c>
      <c r="B34" s="1">
        <v>46181</v>
      </c>
      <c r="C34" s="2" t="s">
        <v>11</v>
      </c>
      <c r="D34" s="2" t="s">
        <v>87</v>
      </c>
      <c r="E34" s="2" t="s">
        <v>88</v>
      </c>
      <c r="F34" s="3">
        <v>333</v>
      </c>
      <c r="G34" s="3"/>
      <c r="H34" s="1">
        <v>46241</v>
      </c>
      <c r="I34" s="2" t="s">
        <v>89</v>
      </c>
      <c r="J34" s="2" t="s">
        <v>90</v>
      </c>
    </row>
    <row r="35" spans="1:10" x14ac:dyDescent="0.25">
      <c r="A35" s="31">
        <v>260700012</v>
      </c>
      <c r="B35" s="32">
        <v>46233</v>
      </c>
      <c r="C35" s="31" t="s">
        <v>11</v>
      </c>
      <c r="D35" s="31" t="s">
        <v>105</v>
      </c>
      <c r="E35" s="31" t="s">
        <v>106</v>
      </c>
      <c r="F35" s="33">
        <v>40</v>
      </c>
      <c r="G35" s="33"/>
      <c r="H35" s="32">
        <v>46241</v>
      </c>
      <c r="I35" s="31" t="s">
        <v>107</v>
      </c>
      <c r="J35" s="31" t="s">
        <v>108</v>
      </c>
    </row>
    <row r="36" spans="1:10" x14ac:dyDescent="0.25">
      <c r="A36" s="31">
        <v>260700012</v>
      </c>
      <c r="B36" s="32">
        <v>46234</v>
      </c>
      <c r="C36" s="31" t="s">
        <v>11</v>
      </c>
      <c r="D36" s="31" t="s">
        <v>105</v>
      </c>
      <c r="E36" s="31" t="s">
        <v>109</v>
      </c>
      <c r="F36" s="33">
        <v>150</v>
      </c>
      <c r="G36" s="33"/>
      <c r="H36" s="32">
        <v>46241</v>
      </c>
      <c r="I36" s="31" t="s">
        <v>107</v>
      </c>
      <c r="J36" s="31" t="s">
        <v>110</v>
      </c>
    </row>
    <row r="37" spans="1:10" x14ac:dyDescent="0.25">
      <c r="A37" s="31">
        <v>260500002</v>
      </c>
      <c r="B37" s="32">
        <v>46245</v>
      </c>
      <c r="C37" s="31" t="s">
        <v>11</v>
      </c>
      <c r="D37" s="31" t="s">
        <v>149</v>
      </c>
      <c r="E37" s="31" t="s">
        <v>150</v>
      </c>
      <c r="F37" s="33">
        <v>189</v>
      </c>
      <c r="G37" s="33"/>
      <c r="H37" s="32">
        <v>46245</v>
      </c>
      <c r="I37" s="31" t="s">
        <v>151</v>
      </c>
      <c r="J37" s="31" t="s">
        <v>152</v>
      </c>
    </row>
    <row r="38" spans="1:10" hidden="1" x14ac:dyDescent="0.25">
      <c r="A38" s="2">
        <v>260600003</v>
      </c>
      <c r="B38" s="1">
        <v>46245</v>
      </c>
      <c r="C38" s="2" t="s">
        <v>11</v>
      </c>
      <c r="D38" s="2" t="s">
        <v>183</v>
      </c>
      <c r="E38" s="2" t="s">
        <v>184</v>
      </c>
      <c r="F38" s="3">
        <v>68</v>
      </c>
      <c r="G38" s="3"/>
      <c r="H38" s="1">
        <v>46245</v>
      </c>
      <c r="I38" s="2" t="s">
        <v>372</v>
      </c>
      <c r="J38" s="2" t="s">
        <v>185</v>
      </c>
    </row>
    <row r="39" spans="1:10" hidden="1" x14ac:dyDescent="0.25">
      <c r="A39" s="2">
        <v>260700011</v>
      </c>
      <c r="B39" s="1">
        <v>46246</v>
      </c>
      <c r="C39" s="2" t="s">
        <v>11</v>
      </c>
      <c r="D39" s="2" t="s">
        <v>25</v>
      </c>
      <c r="E39" s="2" t="s">
        <v>34</v>
      </c>
      <c r="F39" s="3">
        <v>171.22</v>
      </c>
      <c r="G39" s="3"/>
      <c r="H39" s="1">
        <v>46246</v>
      </c>
      <c r="I39" s="2" t="s">
        <v>35</v>
      </c>
      <c r="J39" s="2" t="s">
        <v>36</v>
      </c>
    </row>
    <row r="40" spans="1:10" hidden="1" x14ac:dyDescent="0.25">
      <c r="A40" s="2">
        <v>260700005</v>
      </c>
      <c r="B40" s="1">
        <v>46246</v>
      </c>
      <c r="C40" s="2" t="s">
        <v>11</v>
      </c>
      <c r="D40" s="2" t="s">
        <v>47</v>
      </c>
      <c r="E40" s="2" t="s">
        <v>48</v>
      </c>
      <c r="F40" s="3">
        <v>70.8</v>
      </c>
      <c r="G40" s="3"/>
      <c r="H40" s="1">
        <v>46246</v>
      </c>
      <c r="I40" s="2" t="s">
        <v>49</v>
      </c>
      <c r="J40" s="2" t="s">
        <v>50</v>
      </c>
    </row>
    <row r="41" spans="1:10" x14ac:dyDescent="0.25">
      <c r="A41" s="31">
        <v>260700012</v>
      </c>
      <c r="B41" s="32">
        <v>46246</v>
      </c>
      <c r="C41" s="31" t="s">
        <v>11</v>
      </c>
      <c r="D41" s="31" t="s">
        <v>82</v>
      </c>
      <c r="E41" s="31" t="s">
        <v>83</v>
      </c>
      <c r="F41" s="33"/>
      <c r="G41" s="33">
        <v>84</v>
      </c>
      <c r="H41" s="32">
        <v>46246</v>
      </c>
      <c r="I41" s="31" t="s">
        <v>84</v>
      </c>
      <c r="J41" s="31" t="s">
        <v>85</v>
      </c>
    </row>
    <row r="42" spans="1:10" x14ac:dyDescent="0.25">
      <c r="A42" s="31">
        <v>260700012</v>
      </c>
      <c r="B42" s="32">
        <v>46246</v>
      </c>
      <c r="C42" s="31" t="s">
        <v>11</v>
      </c>
      <c r="D42" s="31" t="s">
        <v>82</v>
      </c>
      <c r="E42" s="31" t="s">
        <v>86</v>
      </c>
      <c r="F42" s="33"/>
      <c r="G42" s="33">
        <v>84</v>
      </c>
      <c r="H42" s="32">
        <v>46246</v>
      </c>
      <c r="I42" s="31" t="s">
        <v>84</v>
      </c>
      <c r="J42" s="31" t="s">
        <v>85</v>
      </c>
    </row>
    <row r="43" spans="1:10" hidden="1" x14ac:dyDescent="0.25">
      <c r="A43" s="2">
        <v>260500002</v>
      </c>
      <c r="B43" s="1">
        <v>46246</v>
      </c>
      <c r="C43" s="2" t="s">
        <v>11</v>
      </c>
      <c r="D43" s="2" t="s">
        <v>94</v>
      </c>
      <c r="E43" s="2" t="s">
        <v>95</v>
      </c>
      <c r="F43" s="3">
        <v>415</v>
      </c>
      <c r="G43" s="3"/>
      <c r="H43" s="1">
        <v>46246</v>
      </c>
      <c r="I43" s="2" t="s">
        <v>96</v>
      </c>
      <c r="J43" s="2" t="s">
        <v>97</v>
      </c>
    </row>
    <row r="44" spans="1:10" hidden="1" x14ac:dyDescent="0.25">
      <c r="A44" s="2">
        <v>260600003</v>
      </c>
      <c r="B44" s="1">
        <v>46246</v>
      </c>
      <c r="C44" s="2" t="s">
        <v>11</v>
      </c>
      <c r="D44" s="2" t="s">
        <v>94</v>
      </c>
      <c r="E44" s="2" t="s">
        <v>98</v>
      </c>
      <c r="F44" s="3">
        <v>15</v>
      </c>
      <c r="G44" s="3"/>
      <c r="H44" s="1">
        <v>46246</v>
      </c>
      <c r="I44" s="2" t="s">
        <v>99</v>
      </c>
      <c r="J44" s="2" t="s">
        <v>100</v>
      </c>
    </row>
    <row r="45" spans="1:10" hidden="1" x14ac:dyDescent="0.25">
      <c r="A45" s="2">
        <v>260700012</v>
      </c>
      <c r="B45" s="1">
        <v>46246</v>
      </c>
      <c r="C45" s="2" t="s">
        <v>11</v>
      </c>
      <c r="D45" s="2" t="s">
        <v>120</v>
      </c>
      <c r="E45" s="2" t="s">
        <v>121</v>
      </c>
      <c r="F45" s="3">
        <v>203.5</v>
      </c>
      <c r="G45" s="3"/>
      <c r="H45" s="1">
        <v>46246</v>
      </c>
      <c r="I45" s="2" t="s">
        <v>122</v>
      </c>
      <c r="J45" s="2" t="s">
        <v>123</v>
      </c>
    </row>
    <row r="46" spans="1:10" hidden="1" x14ac:dyDescent="0.25">
      <c r="A46" s="2">
        <v>260700012</v>
      </c>
      <c r="B46" s="1">
        <v>46246</v>
      </c>
      <c r="C46" s="2" t="s">
        <v>11</v>
      </c>
      <c r="D46" s="2" t="s">
        <v>120</v>
      </c>
      <c r="E46" s="2" t="s">
        <v>124</v>
      </c>
      <c r="F46" s="3">
        <v>170</v>
      </c>
      <c r="G46" s="3"/>
      <c r="H46" s="1">
        <v>46246</v>
      </c>
      <c r="I46" s="2" t="s">
        <v>122</v>
      </c>
      <c r="J46" s="2" t="s">
        <v>125</v>
      </c>
    </row>
    <row r="47" spans="1:10" hidden="1" x14ac:dyDescent="0.25">
      <c r="A47" s="2">
        <v>260700012</v>
      </c>
      <c r="B47" s="1">
        <v>46246</v>
      </c>
      <c r="C47" s="2" t="s">
        <v>11</v>
      </c>
      <c r="D47" s="2" t="s">
        <v>120</v>
      </c>
      <c r="E47" s="2" t="s">
        <v>126</v>
      </c>
      <c r="F47" s="3">
        <v>140</v>
      </c>
      <c r="G47" s="3"/>
      <c r="H47" s="1">
        <v>46246</v>
      </c>
      <c r="I47" s="2" t="s">
        <v>122</v>
      </c>
      <c r="J47" s="2" t="s">
        <v>127</v>
      </c>
    </row>
    <row r="48" spans="1:10" hidden="1" x14ac:dyDescent="0.25">
      <c r="A48" s="2">
        <v>260700012</v>
      </c>
      <c r="B48" s="1">
        <v>46246</v>
      </c>
      <c r="C48" s="2" t="s">
        <v>11</v>
      </c>
      <c r="D48" s="2" t="s">
        <v>120</v>
      </c>
      <c r="E48" s="2" t="s">
        <v>128</v>
      </c>
      <c r="F48" s="3">
        <v>140</v>
      </c>
      <c r="G48" s="3"/>
      <c r="H48" s="1">
        <v>46246</v>
      </c>
      <c r="I48" s="2" t="s">
        <v>122</v>
      </c>
      <c r="J48" s="2" t="s">
        <v>129</v>
      </c>
    </row>
    <row r="49" spans="1:10" hidden="1" x14ac:dyDescent="0.25">
      <c r="A49" s="2">
        <v>260700012</v>
      </c>
      <c r="B49" s="1">
        <v>46246</v>
      </c>
      <c r="C49" s="2" t="s">
        <v>11</v>
      </c>
      <c r="D49" s="2" t="s">
        <v>120</v>
      </c>
      <c r="E49" s="2" t="s">
        <v>130</v>
      </c>
      <c r="F49" s="3">
        <v>254.64</v>
      </c>
      <c r="G49" s="3"/>
      <c r="H49" s="1">
        <v>46246</v>
      </c>
      <c r="I49" s="2" t="s">
        <v>122</v>
      </c>
      <c r="J49" s="2" t="s">
        <v>131</v>
      </c>
    </row>
    <row r="50" spans="1:10" hidden="1" x14ac:dyDescent="0.25">
      <c r="A50" s="2">
        <v>260700014</v>
      </c>
      <c r="B50" s="1">
        <v>46246</v>
      </c>
      <c r="C50" s="2" t="s">
        <v>11</v>
      </c>
      <c r="D50" s="2" t="s">
        <v>139</v>
      </c>
      <c r="E50" s="2" t="s">
        <v>140</v>
      </c>
      <c r="F50" s="3">
        <v>343.5</v>
      </c>
      <c r="G50" s="3"/>
      <c r="H50" s="1">
        <v>46246</v>
      </c>
      <c r="I50" s="2" t="s">
        <v>141</v>
      </c>
      <c r="J50" s="2" t="s">
        <v>142</v>
      </c>
    </row>
    <row r="51" spans="1:10" hidden="1" x14ac:dyDescent="0.25">
      <c r="A51" s="2">
        <v>260700014</v>
      </c>
      <c r="B51" s="1">
        <v>46246</v>
      </c>
      <c r="C51" s="2" t="s">
        <v>11</v>
      </c>
      <c r="D51" s="2" t="s">
        <v>139</v>
      </c>
      <c r="E51" s="2" t="s">
        <v>143</v>
      </c>
      <c r="F51" s="3">
        <v>343.5</v>
      </c>
      <c r="G51" s="3"/>
      <c r="H51" s="1">
        <v>46246</v>
      </c>
      <c r="I51" s="2" t="s">
        <v>141</v>
      </c>
      <c r="J51" s="2" t="s">
        <v>142</v>
      </c>
    </row>
    <row r="52" spans="1:10" x14ac:dyDescent="0.25">
      <c r="A52" s="31">
        <v>260500002</v>
      </c>
      <c r="B52" s="32">
        <v>46246</v>
      </c>
      <c r="C52" s="31" t="s">
        <v>11</v>
      </c>
      <c r="D52" s="31" t="s">
        <v>161</v>
      </c>
      <c r="E52" s="31" t="s">
        <v>162</v>
      </c>
      <c r="F52" s="33"/>
      <c r="G52" s="33">
        <v>129.08000000000001</v>
      </c>
      <c r="H52" s="32">
        <v>46246</v>
      </c>
      <c r="I52" s="31" t="s">
        <v>163</v>
      </c>
      <c r="J52" s="31" t="s">
        <v>164</v>
      </c>
    </row>
    <row r="53" spans="1:10" hidden="1" x14ac:dyDescent="0.25">
      <c r="A53" s="2">
        <v>260500007</v>
      </c>
      <c r="B53" s="1">
        <v>46246</v>
      </c>
      <c r="C53" s="2" t="s">
        <v>11</v>
      </c>
      <c r="D53" s="2" t="s">
        <v>161</v>
      </c>
      <c r="E53" s="2" t="s">
        <v>165</v>
      </c>
      <c r="F53" s="3">
        <v>1039.6300000000001</v>
      </c>
      <c r="G53" s="3"/>
      <c r="H53" s="1">
        <v>46246</v>
      </c>
      <c r="I53" s="2" t="s">
        <v>166</v>
      </c>
      <c r="J53" s="2" t="s">
        <v>167</v>
      </c>
    </row>
    <row r="54" spans="1:10" hidden="1" x14ac:dyDescent="0.25">
      <c r="A54" s="2">
        <v>260700011</v>
      </c>
      <c r="B54" s="1">
        <v>46246</v>
      </c>
      <c r="C54" s="2" t="s">
        <v>11</v>
      </c>
      <c r="D54" s="2" t="s">
        <v>161</v>
      </c>
      <c r="E54" s="2" t="s">
        <v>174</v>
      </c>
      <c r="F54" s="3">
        <v>971.8</v>
      </c>
      <c r="G54" s="3"/>
      <c r="H54" s="1">
        <v>46246</v>
      </c>
      <c r="I54" s="2" t="s">
        <v>175</v>
      </c>
      <c r="J54" s="2" t="s">
        <v>176</v>
      </c>
    </row>
    <row r="55" spans="1:10" x14ac:dyDescent="0.25">
      <c r="A55" s="31">
        <v>260400002</v>
      </c>
      <c r="B55" s="32">
        <v>46246</v>
      </c>
      <c r="C55" s="31" t="s">
        <v>11</v>
      </c>
      <c r="D55" s="31" t="s">
        <v>195</v>
      </c>
      <c r="E55" s="31" t="s">
        <v>196</v>
      </c>
      <c r="F55" s="33">
        <v>52.03</v>
      </c>
      <c r="G55" s="33"/>
      <c r="H55" s="32">
        <v>46246</v>
      </c>
      <c r="I55" s="31" t="s">
        <v>197</v>
      </c>
      <c r="J55" s="31" t="s">
        <v>198</v>
      </c>
    </row>
    <row r="56" spans="1:10" x14ac:dyDescent="0.25">
      <c r="A56" s="31">
        <v>260400002</v>
      </c>
      <c r="B56" s="32">
        <v>46246</v>
      </c>
      <c r="C56" s="31" t="s">
        <v>11</v>
      </c>
      <c r="D56" s="31" t="s">
        <v>195</v>
      </c>
      <c r="E56" s="31" t="s">
        <v>199</v>
      </c>
      <c r="F56" s="33">
        <v>52.03</v>
      </c>
      <c r="G56" s="33"/>
      <c r="H56" s="32">
        <v>46246</v>
      </c>
      <c r="I56" s="31" t="s">
        <v>197</v>
      </c>
      <c r="J56" s="31" t="s">
        <v>198</v>
      </c>
    </row>
    <row r="57" spans="1:10" hidden="1" x14ac:dyDescent="0.25">
      <c r="A57" s="2">
        <v>260500010</v>
      </c>
      <c r="B57" s="1">
        <v>46246</v>
      </c>
      <c r="C57" s="2" t="s">
        <v>11</v>
      </c>
      <c r="D57" s="2" t="s">
        <v>195</v>
      </c>
      <c r="E57" s="2" t="s">
        <v>200</v>
      </c>
      <c r="F57" s="3">
        <v>110.92</v>
      </c>
      <c r="G57" s="3"/>
      <c r="H57" s="1">
        <v>46246</v>
      </c>
      <c r="I57" s="2" t="s">
        <v>201</v>
      </c>
      <c r="J57" s="2" t="s">
        <v>202</v>
      </c>
    </row>
    <row r="58" spans="1:10" hidden="1" x14ac:dyDescent="0.25">
      <c r="A58" s="2">
        <v>260500010</v>
      </c>
      <c r="B58" s="1">
        <v>46246</v>
      </c>
      <c r="C58" s="2" t="s">
        <v>11</v>
      </c>
      <c r="D58" s="2" t="s">
        <v>195</v>
      </c>
      <c r="E58" s="2" t="s">
        <v>203</v>
      </c>
      <c r="F58" s="3">
        <v>110.92</v>
      </c>
      <c r="G58" s="3"/>
      <c r="H58" s="1">
        <v>46246</v>
      </c>
      <c r="I58" s="2" t="s">
        <v>201</v>
      </c>
      <c r="J58" s="2" t="s">
        <v>202</v>
      </c>
    </row>
    <row r="59" spans="1:10" hidden="1" x14ac:dyDescent="0.25">
      <c r="A59" s="2">
        <v>260700009</v>
      </c>
      <c r="B59" s="1">
        <v>46178</v>
      </c>
      <c r="C59" s="2" t="s">
        <v>11</v>
      </c>
      <c r="D59" s="2" t="s">
        <v>37</v>
      </c>
      <c r="E59" s="2" t="s">
        <v>38</v>
      </c>
      <c r="F59" s="3">
        <v>500.32</v>
      </c>
      <c r="G59" s="3"/>
      <c r="H59" s="1">
        <v>46247</v>
      </c>
      <c r="I59" s="2" t="s">
        <v>39</v>
      </c>
      <c r="J59" s="2" t="s">
        <v>40</v>
      </c>
    </row>
    <row r="60" spans="1:10" hidden="1" x14ac:dyDescent="0.25">
      <c r="A60" s="2">
        <v>260700010</v>
      </c>
      <c r="B60" s="1">
        <v>46246</v>
      </c>
      <c r="C60" s="2" t="s">
        <v>11</v>
      </c>
      <c r="D60" s="2" t="s">
        <v>25</v>
      </c>
      <c r="E60" s="2" t="s">
        <v>30</v>
      </c>
      <c r="F60" s="3">
        <v>537.24</v>
      </c>
      <c r="G60" s="3"/>
      <c r="H60" s="1">
        <v>46248</v>
      </c>
      <c r="I60" s="2" t="s">
        <v>31</v>
      </c>
      <c r="J60" s="2" t="s">
        <v>32</v>
      </c>
    </row>
    <row r="61" spans="1:10" hidden="1" x14ac:dyDescent="0.25">
      <c r="A61" s="2">
        <v>260700010</v>
      </c>
      <c r="B61" s="1">
        <v>46213</v>
      </c>
      <c r="C61" s="2" t="s">
        <v>11</v>
      </c>
      <c r="D61" s="2" t="s">
        <v>51</v>
      </c>
      <c r="E61" s="2" t="s">
        <v>52</v>
      </c>
      <c r="F61" s="3">
        <v>646.79999999999995</v>
      </c>
      <c r="G61" s="3"/>
      <c r="H61" s="1">
        <v>46248</v>
      </c>
      <c r="I61" s="2" t="s">
        <v>53</v>
      </c>
      <c r="J61" s="2" t="s">
        <v>54</v>
      </c>
    </row>
    <row r="62" spans="1:10" hidden="1" x14ac:dyDescent="0.25">
      <c r="A62" s="2">
        <v>260700010</v>
      </c>
      <c r="B62" s="1">
        <v>46244</v>
      </c>
      <c r="C62" s="2" t="s">
        <v>11</v>
      </c>
      <c r="D62" s="2" t="s">
        <v>51</v>
      </c>
      <c r="E62" s="2" t="s">
        <v>55</v>
      </c>
      <c r="F62" s="3">
        <v>97.92</v>
      </c>
      <c r="G62" s="3"/>
      <c r="H62" s="1">
        <v>46248</v>
      </c>
      <c r="I62" s="2" t="s">
        <v>53</v>
      </c>
      <c r="J62" s="2" t="s">
        <v>56</v>
      </c>
    </row>
    <row r="63" spans="1:10" hidden="1" x14ac:dyDescent="0.25">
      <c r="A63" s="2">
        <v>260700017</v>
      </c>
      <c r="B63" s="1">
        <v>46184</v>
      </c>
      <c r="C63" s="2" t="s">
        <v>11</v>
      </c>
      <c r="D63" s="2" t="s">
        <v>161</v>
      </c>
      <c r="E63" s="2" t="s">
        <v>177</v>
      </c>
      <c r="F63" s="3">
        <v>72</v>
      </c>
      <c r="G63" s="3"/>
      <c r="H63" s="1">
        <v>46248</v>
      </c>
      <c r="I63" s="2" t="s">
        <v>178</v>
      </c>
      <c r="J63" s="2" t="s">
        <v>179</v>
      </c>
    </row>
    <row r="64" spans="1:10" hidden="1" x14ac:dyDescent="0.25">
      <c r="A64" s="2">
        <v>260800004</v>
      </c>
      <c r="B64" s="1">
        <v>46248</v>
      </c>
      <c r="C64" s="2" t="s">
        <v>11</v>
      </c>
      <c r="D64" s="2" t="s">
        <v>153</v>
      </c>
      <c r="E64" s="2" t="s">
        <v>158</v>
      </c>
      <c r="F64" s="3">
        <v>300</v>
      </c>
      <c r="G64" s="3"/>
      <c r="H64" s="1">
        <v>46251</v>
      </c>
      <c r="I64" s="2" t="s">
        <v>159</v>
      </c>
      <c r="J64" s="2" t="s">
        <v>160</v>
      </c>
    </row>
    <row r="65" spans="1:10" x14ac:dyDescent="0.25">
      <c r="A65" s="31">
        <v>260800007</v>
      </c>
      <c r="B65" s="32">
        <v>46238</v>
      </c>
      <c r="C65" s="31" t="s">
        <v>11</v>
      </c>
      <c r="D65" s="31" t="s">
        <v>105</v>
      </c>
      <c r="E65" s="31" t="s">
        <v>112</v>
      </c>
      <c r="F65" s="33">
        <v>60</v>
      </c>
      <c r="G65" s="33"/>
      <c r="H65" s="32">
        <v>46255</v>
      </c>
      <c r="I65" s="31" t="s">
        <v>113</v>
      </c>
      <c r="J65" s="31" t="s">
        <v>114</v>
      </c>
    </row>
    <row r="66" spans="1:10" hidden="1" x14ac:dyDescent="0.25">
      <c r="A66" s="2">
        <v>260700010</v>
      </c>
      <c r="B66" s="1">
        <v>46246</v>
      </c>
      <c r="C66" s="2" t="s">
        <v>11</v>
      </c>
      <c r="D66" s="2" t="s">
        <v>161</v>
      </c>
      <c r="E66" s="2" t="s">
        <v>171</v>
      </c>
      <c r="F66" s="3">
        <v>1080.1100000000001</v>
      </c>
      <c r="G66" s="3"/>
      <c r="H66" s="1">
        <v>46255</v>
      </c>
      <c r="I66" s="2" t="s">
        <v>172</v>
      </c>
      <c r="J66" s="2" t="s">
        <v>173</v>
      </c>
    </row>
    <row r="67" spans="1:10" hidden="1" x14ac:dyDescent="0.25">
      <c r="A67" s="2">
        <v>260800001</v>
      </c>
      <c r="B67" s="1">
        <v>46248</v>
      </c>
      <c r="C67" s="2" t="s">
        <v>11</v>
      </c>
      <c r="D67" s="2" t="s">
        <v>161</v>
      </c>
      <c r="E67" s="2" t="s">
        <v>180</v>
      </c>
      <c r="F67" s="3">
        <v>1243.5999999999999</v>
      </c>
      <c r="G67" s="3"/>
      <c r="H67" s="1">
        <v>46269</v>
      </c>
      <c r="I67" s="2" t="s">
        <v>181</v>
      </c>
      <c r="J67" s="2" t="s">
        <v>182</v>
      </c>
    </row>
    <row r="68" spans="1:10" hidden="1" x14ac:dyDescent="0.25">
      <c r="A68" s="18">
        <v>260800004</v>
      </c>
      <c r="B68" s="19">
        <v>46225</v>
      </c>
      <c r="C68" s="18" t="s">
        <v>11</v>
      </c>
      <c r="D68" s="18" t="s">
        <v>183</v>
      </c>
      <c r="E68" s="18" t="s">
        <v>192</v>
      </c>
      <c r="F68" s="20">
        <v>87</v>
      </c>
      <c r="G68" s="20"/>
      <c r="H68" s="19">
        <v>46269</v>
      </c>
      <c r="I68" s="18" t="s">
        <v>193</v>
      </c>
      <c r="J68" s="18" t="s">
        <v>194</v>
      </c>
    </row>
    <row r="69" spans="1:10" x14ac:dyDescent="0.25">
      <c r="A69" s="18"/>
      <c r="B69" s="19"/>
      <c r="C69" s="18"/>
      <c r="D69" s="18"/>
      <c r="E69" s="18"/>
      <c r="F69" s="30">
        <f>SUBTOTAL(109,Tabla1[USD])</f>
        <v>5140.3</v>
      </c>
      <c r="G69" s="30">
        <f>SUBTOTAL(109,Tabla1[PEN])</f>
        <v>297.08000000000004</v>
      </c>
      <c r="H69" s="19"/>
      <c r="I69" s="18"/>
      <c r="J69" s="18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69C64-A515-4635-A403-D102499AE112}">
  <dimension ref="A1:J53"/>
  <sheetViews>
    <sheetView showGridLines="0" topLeftCell="A8" workbookViewId="0">
      <selection activeCell="D16" sqref="D16"/>
    </sheetView>
  </sheetViews>
  <sheetFormatPr baseColWidth="10" defaultRowHeight="15" x14ac:dyDescent="0.25"/>
  <cols>
    <col min="2" max="2" width="15.7109375" customWidth="1"/>
    <col min="4" max="4" width="50.42578125" bestFit="1" customWidth="1"/>
    <col min="8" max="8" width="12.42578125" customWidth="1"/>
    <col min="9" max="9" width="19.28515625" bestFit="1" customWidth="1"/>
    <col min="10" max="10" width="101.140625" customWidth="1"/>
  </cols>
  <sheetData>
    <row r="1" spans="1:10" x14ac:dyDescent="0.2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</row>
    <row r="2" spans="1:10" s="7" customFormat="1" x14ac:dyDescent="0.25">
      <c r="A2" s="5" t="s">
        <v>227</v>
      </c>
      <c r="B2" s="4">
        <v>46184</v>
      </c>
      <c r="C2" s="5" t="s">
        <v>11</v>
      </c>
      <c r="D2" s="5" t="s">
        <v>228</v>
      </c>
      <c r="E2" s="5" t="s">
        <v>229</v>
      </c>
      <c r="F2" s="6">
        <v>171</v>
      </c>
      <c r="G2" s="6"/>
      <c r="H2" s="4">
        <v>46227</v>
      </c>
      <c r="I2" s="5" t="s">
        <v>230</v>
      </c>
      <c r="J2" s="5" t="s">
        <v>231</v>
      </c>
    </row>
    <row r="3" spans="1:10" s="7" customFormat="1" x14ac:dyDescent="0.25">
      <c r="A3" s="9" t="s">
        <v>157</v>
      </c>
      <c r="B3" s="8">
        <v>46245</v>
      </c>
      <c r="C3" s="9" t="s">
        <v>11</v>
      </c>
      <c r="D3" s="9" t="s">
        <v>25</v>
      </c>
      <c r="E3" s="9" t="s">
        <v>232</v>
      </c>
      <c r="F3" s="10">
        <v>219.52</v>
      </c>
      <c r="G3" s="10"/>
      <c r="H3" s="8">
        <v>46269</v>
      </c>
      <c r="I3" s="9" t="s">
        <v>233</v>
      </c>
      <c r="J3" s="9" t="s">
        <v>234</v>
      </c>
    </row>
    <row r="4" spans="1:10" s="7" customFormat="1" x14ac:dyDescent="0.25">
      <c r="A4" s="5" t="s">
        <v>235</v>
      </c>
      <c r="B4" s="4">
        <v>46220</v>
      </c>
      <c r="C4" s="5" t="s">
        <v>11</v>
      </c>
      <c r="D4" s="5" t="s">
        <v>236</v>
      </c>
      <c r="E4" s="5" t="s">
        <v>237</v>
      </c>
      <c r="F4" s="6">
        <v>46</v>
      </c>
      <c r="G4" s="6"/>
      <c r="H4" s="4">
        <v>46220</v>
      </c>
      <c r="I4" s="5" t="s">
        <v>230</v>
      </c>
      <c r="J4" s="5" t="s">
        <v>238</v>
      </c>
    </row>
    <row r="5" spans="1:10" s="7" customFormat="1" x14ac:dyDescent="0.25">
      <c r="A5" s="9" t="s">
        <v>33</v>
      </c>
      <c r="B5" s="8">
        <v>46156</v>
      </c>
      <c r="C5" s="9" t="s">
        <v>11</v>
      </c>
      <c r="D5" s="9" t="s">
        <v>51</v>
      </c>
      <c r="E5" s="9" t="s">
        <v>239</v>
      </c>
      <c r="F5" s="10">
        <v>124.3</v>
      </c>
      <c r="G5" s="10"/>
      <c r="H5" s="8">
        <v>46220</v>
      </c>
      <c r="I5" s="9" t="s">
        <v>233</v>
      </c>
      <c r="J5" s="9" t="s">
        <v>240</v>
      </c>
    </row>
    <row r="6" spans="1:10" s="7" customFormat="1" x14ac:dyDescent="0.25">
      <c r="A6" s="5" t="s">
        <v>29</v>
      </c>
      <c r="B6" s="4">
        <v>46213</v>
      </c>
      <c r="C6" s="5" t="s">
        <v>11</v>
      </c>
      <c r="D6" s="5" t="s">
        <v>61</v>
      </c>
      <c r="E6" s="5" t="s">
        <v>241</v>
      </c>
      <c r="F6" s="6">
        <v>301.39999999999998</v>
      </c>
      <c r="G6" s="6"/>
      <c r="H6" s="4">
        <v>46227</v>
      </c>
      <c r="I6" s="5" t="s">
        <v>233</v>
      </c>
      <c r="J6" s="5" t="s">
        <v>242</v>
      </c>
    </row>
    <row r="7" spans="1:10" s="7" customFormat="1" x14ac:dyDescent="0.25">
      <c r="A7" s="9" t="s">
        <v>227</v>
      </c>
      <c r="B7" s="8">
        <v>46181</v>
      </c>
      <c r="C7" s="9" t="s">
        <v>11</v>
      </c>
      <c r="D7" s="9" t="s">
        <v>243</v>
      </c>
      <c r="E7" s="9" t="s">
        <v>244</v>
      </c>
      <c r="F7" s="10">
        <v>170.52</v>
      </c>
      <c r="G7" s="10"/>
      <c r="H7" s="8">
        <v>46232</v>
      </c>
      <c r="I7" s="9" t="s">
        <v>233</v>
      </c>
      <c r="J7" s="9" t="s">
        <v>245</v>
      </c>
    </row>
    <row r="8" spans="1:10" s="7" customFormat="1" x14ac:dyDescent="0.25">
      <c r="A8" s="5" t="s">
        <v>29</v>
      </c>
      <c r="B8" s="4">
        <v>46237</v>
      </c>
      <c r="C8" s="5" t="s">
        <v>11</v>
      </c>
      <c r="D8" s="5" t="s">
        <v>87</v>
      </c>
      <c r="E8" s="5" t="s">
        <v>246</v>
      </c>
      <c r="F8" s="6">
        <v>25</v>
      </c>
      <c r="G8" s="6"/>
      <c r="H8" s="4">
        <v>46255</v>
      </c>
      <c r="I8" s="5" t="s">
        <v>233</v>
      </c>
      <c r="J8" s="5" t="s">
        <v>247</v>
      </c>
    </row>
    <row r="9" spans="1:10" s="7" customFormat="1" x14ac:dyDescent="0.25">
      <c r="A9" s="9" t="s">
        <v>248</v>
      </c>
      <c r="B9" s="8">
        <v>46241</v>
      </c>
      <c r="C9" s="9" t="s">
        <v>11</v>
      </c>
      <c r="D9" s="9" t="s">
        <v>87</v>
      </c>
      <c r="E9" s="9" t="s">
        <v>249</v>
      </c>
      <c r="F9" s="10">
        <v>44</v>
      </c>
      <c r="G9" s="10"/>
      <c r="H9" s="8">
        <v>46274</v>
      </c>
      <c r="I9" s="9" t="s">
        <v>233</v>
      </c>
      <c r="J9" s="9" t="s">
        <v>250</v>
      </c>
    </row>
    <row r="10" spans="1:10" s="7" customFormat="1" x14ac:dyDescent="0.25">
      <c r="A10" s="5" t="s">
        <v>248</v>
      </c>
      <c r="B10" s="4">
        <v>46241</v>
      </c>
      <c r="C10" s="5" t="s">
        <v>11</v>
      </c>
      <c r="D10" s="5" t="s">
        <v>87</v>
      </c>
      <c r="E10" s="5" t="s">
        <v>251</v>
      </c>
      <c r="F10" s="6">
        <v>8.4</v>
      </c>
      <c r="G10" s="6"/>
      <c r="H10" s="4">
        <v>46274</v>
      </c>
      <c r="I10" s="5" t="s">
        <v>233</v>
      </c>
      <c r="J10" s="5" t="s">
        <v>252</v>
      </c>
    </row>
    <row r="11" spans="1:10" s="7" customFormat="1" x14ac:dyDescent="0.25">
      <c r="A11" s="9" t="s">
        <v>248</v>
      </c>
      <c r="B11" s="8">
        <v>46241</v>
      </c>
      <c r="C11" s="9" t="s">
        <v>11</v>
      </c>
      <c r="D11" s="9" t="s">
        <v>87</v>
      </c>
      <c r="E11" s="9" t="s">
        <v>253</v>
      </c>
      <c r="F11" s="10">
        <v>75</v>
      </c>
      <c r="G11" s="10"/>
      <c r="H11" s="8">
        <v>46274</v>
      </c>
      <c r="I11" s="9" t="s">
        <v>233</v>
      </c>
      <c r="J11" s="9" t="s">
        <v>254</v>
      </c>
    </row>
    <row r="12" spans="1:10" s="7" customFormat="1" x14ac:dyDescent="0.25">
      <c r="A12" s="5" t="s">
        <v>248</v>
      </c>
      <c r="B12" s="4">
        <v>46241</v>
      </c>
      <c r="C12" s="5" t="s">
        <v>11</v>
      </c>
      <c r="D12" s="5" t="s">
        <v>87</v>
      </c>
      <c r="E12" s="5" t="s">
        <v>255</v>
      </c>
      <c r="F12" s="6">
        <v>8.4</v>
      </c>
      <c r="G12" s="6"/>
      <c r="H12" s="4">
        <v>46274</v>
      </c>
      <c r="I12" s="5" t="s">
        <v>233</v>
      </c>
      <c r="J12" s="5" t="s">
        <v>256</v>
      </c>
    </row>
    <row r="13" spans="1:10" s="7" customFormat="1" x14ac:dyDescent="0.25">
      <c r="A13" s="9" t="s">
        <v>248</v>
      </c>
      <c r="B13" s="8">
        <v>46241</v>
      </c>
      <c r="C13" s="9" t="s">
        <v>11</v>
      </c>
      <c r="D13" s="9" t="s">
        <v>87</v>
      </c>
      <c r="E13" s="9" t="s">
        <v>257</v>
      </c>
      <c r="F13" s="10">
        <v>15</v>
      </c>
      <c r="G13" s="10"/>
      <c r="H13" s="8">
        <v>46274</v>
      </c>
      <c r="I13" s="9" t="s">
        <v>233</v>
      </c>
      <c r="J13" s="9" t="s">
        <v>258</v>
      </c>
    </row>
    <row r="14" spans="1:10" s="7" customFormat="1" x14ac:dyDescent="0.25">
      <c r="A14" s="5" t="s">
        <v>248</v>
      </c>
      <c r="B14" s="4">
        <v>46241</v>
      </c>
      <c r="C14" s="5" t="s">
        <v>11</v>
      </c>
      <c r="D14" s="5" t="s">
        <v>87</v>
      </c>
      <c r="E14" s="5" t="s">
        <v>259</v>
      </c>
      <c r="F14" s="6">
        <v>2.8</v>
      </c>
      <c r="G14" s="6"/>
      <c r="H14" s="4">
        <v>46274</v>
      </c>
      <c r="I14" s="5" t="s">
        <v>233</v>
      </c>
      <c r="J14" s="5" t="s">
        <v>260</v>
      </c>
    </row>
    <row r="15" spans="1:10" s="7" customFormat="1" x14ac:dyDescent="0.25">
      <c r="A15" s="9" t="s">
        <v>204</v>
      </c>
      <c r="B15" s="8">
        <v>46185</v>
      </c>
      <c r="C15" s="9" t="s">
        <v>11</v>
      </c>
      <c r="D15" s="9" t="s">
        <v>94</v>
      </c>
      <c r="E15" s="9" t="s">
        <v>261</v>
      </c>
      <c r="F15" s="10">
        <v>70</v>
      </c>
      <c r="G15" s="10"/>
      <c r="H15" s="8">
        <v>46233</v>
      </c>
      <c r="I15" s="9" t="s">
        <v>233</v>
      </c>
      <c r="J15" s="9" t="s">
        <v>262</v>
      </c>
    </row>
    <row r="16" spans="1:10" s="7" customFormat="1" x14ac:dyDescent="0.25">
      <c r="A16" s="5" t="s">
        <v>46</v>
      </c>
      <c r="B16" s="4">
        <v>46183</v>
      </c>
      <c r="C16" s="5" t="s">
        <v>11</v>
      </c>
      <c r="D16" s="5" t="s">
        <v>94</v>
      </c>
      <c r="E16" s="5" t="s">
        <v>263</v>
      </c>
      <c r="F16" s="6">
        <v>274.5</v>
      </c>
      <c r="G16" s="6"/>
      <c r="H16" s="4">
        <v>46220</v>
      </c>
      <c r="I16" s="5" t="s">
        <v>233</v>
      </c>
      <c r="J16" s="5" t="s">
        <v>264</v>
      </c>
    </row>
    <row r="17" spans="1:10" s="7" customFormat="1" x14ac:dyDescent="0.25">
      <c r="A17" s="9" t="s">
        <v>33</v>
      </c>
      <c r="B17" s="8">
        <v>46176</v>
      </c>
      <c r="C17" s="9" t="s">
        <v>11</v>
      </c>
      <c r="D17" s="9" t="s">
        <v>94</v>
      </c>
      <c r="E17" s="9" t="s">
        <v>265</v>
      </c>
      <c r="F17" s="10">
        <v>340</v>
      </c>
      <c r="G17" s="10"/>
      <c r="H17" s="8">
        <v>46228</v>
      </c>
      <c r="I17" s="9" t="s">
        <v>233</v>
      </c>
      <c r="J17" s="9" t="s">
        <v>266</v>
      </c>
    </row>
    <row r="18" spans="1:10" s="7" customFormat="1" x14ac:dyDescent="0.25">
      <c r="A18" s="5" t="s">
        <v>115</v>
      </c>
      <c r="B18" s="4">
        <v>46197</v>
      </c>
      <c r="C18" s="5" t="s">
        <v>11</v>
      </c>
      <c r="D18" s="5" t="s">
        <v>94</v>
      </c>
      <c r="E18" s="5" t="s">
        <v>267</v>
      </c>
      <c r="F18" s="6">
        <v>71</v>
      </c>
      <c r="G18" s="6"/>
      <c r="H18" s="4">
        <v>46213</v>
      </c>
      <c r="I18" s="5" t="s">
        <v>233</v>
      </c>
      <c r="J18" s="5" t="s">
        <v>268</v>
      </c>
    </row>
    <row r="19" spans="1:10" s="7" customFormat="1" x14ac:dyDescent="0.25">
      <c r="A19" s="9" t="s">
        <v>248</v>
      </c>
      <c r="B19" s="8">
        <v>46241</v>
      </c>
      <c r="C19" s="9" t="s">
        <v>11</v>
      </c>
      <c r="D19" s="9" t="s">
        <v>269</v>
      </c>
      <c r="E19" s="9" t="s">
        <v>270</v>
      </c>
      <c r="F19" s="10">
        <v>60</v>
      </c>
      <c r="G19" s="10"/>
      <c r="H19" s="8">
        <v>46274</v>
      </c>
      <c r="I19" s="9" t="s">
        <v>230</v>
      </c>
      <c r="J19" s="9" t="s">
        <v>271</v>
      </c>
    </row>
    <row r="20" spans="1:10" s="7" customFormat="1" x14ac:dyDescent="0.25">
      <c r="A20" s="5" t="s">
        <v>10</v>
      </c>
      <c r="B20" s="4">
        <v>46183</v>
      </c>
      <c r="C20" s="5" t="s">
        <v>11</v>
      </c>
      <c r="D20" s="5" t="s">
        <v>116</v>
      </c>
      <c r="E20" s="5" t="s">
        <v>272</v>
      </c>
      <c r="F20" s="6">
        <v>87</v>
      </c>
      <c r="G20" s="6"/>
      <c r="H20" s="4">
        <v>46227</v>
      </c>
      <c r="I20" s="5" t="s">
        <v>230</v>
      </c>
      <c r="J20" s="5" t="s">
        <v>273</v>
      </c>
    </row>
    <row r="21" spans="1:10" s="7" customFormat="1" x14ac:dyDescent="0.25">
      <c r="A21" s="9" t="s">
        <v>46</v>
      </c>
      <c r="B21" s="8">
        <v>46176</v>
      </c>
      <c r="C21" s="9" t="s">
        <v>11</v>
      </c>
      <c r="D21" s="9" t="s">
        <v>116</v>
      </c>
      <c r="E21" s="9" t="s">
        <v>274</v>
      </c>
      <c r="F21" s="10">
        <v>80</v>
      </c>
      <c r="G21" s="10"/>
      <c r="H21" s="8">
        <v>46211</v>
      </c>
      <c r="I21" s="9" t="s">
        <v>230</v>
      </c>
      <c r="J21" s="9" t="s">
        <v>275</v>
      </c>
    </row>
    <row r="22" spans="1:10" s="7" customFormat="1" x14ac:dyDescent="0.25">
      <c r="A22" s="5" t="s">
        <v>227</v>
      </c>
      <c r="B22" s="4">
        <v>46181</v>
      </c>
      <c r="C22" s="5" t="s">
        <v>11</v>
      </c>
      <c r="D22" s="5" t="s">
        <v>116</v>
      </c>
      <c r="E22" s="5" t="s">
        <v>276</v>
      </c>
      <c r="F22" s="6">
        <v>80</v>
      </c>
      <c r="G22" s="6"/>
      <c r="H22" s="4">
        <v>46239</v>
      </c>
      <c r="I22" s="5" t="s">
        <v>230</v>
      </c>
      <c r="J22" s="5" t="s">
        <v>277</v>
      </c>
    </row>
    <row r="23" spans="1:10" s="7" customFormat="1" x14ac:dyDescent="0.25">
      <c r="A23" s="9" t="s">
        <v>33</v>
      </c>
      <c r="B23" s="8">
        <v>46183</v>
      </c>
      <c r="C23" s="9" t="s">
        <v>11</v>
      </c>
      <c r="D23" s="9" t="s">
        <v>116</v>
      </c>
      <c r="E23" s="9" t="s">
        <v>278</v>
      </c>
      <c r="F23" s="10">
        <v>80</v>
      </c>
      <c r="G23" s="10"/>
      <c r="H23" s="8">
        <v>46215</v>
      </c>
      <c r="I23" s="9" t="s">
        <v>230</v>
      </c>
      <c r="J23" s="9" t="s">
        <v>279</v>
      </c>
    </row>
    <row r="24" spans="1:10" s="7" customFormat="1" x14ac:dyDescent="0.25">
      <c r="A24" s="5" t="s">
        <v>33</v>
      </c>
      <c r="B24" s="4">
        <v>46211</v>
      </c>
      <c r="C24" s="5" t="s">
        <v>11</v>
      </c>
      <c r="D24" s="5" t="s">
        <v>116</v>
      </c>
      <c r="E24" s="5" t="s">
        <v>280</v>
      </c>
      <c r="F24" s="6">
        <v>94</v>
      </c>
      <c r="G24" s="6"/>
      <c r="H24" s="4">
        <v>46220</v>
      </c>
      <c r="I24" s="5" t="s">
        <v>230</v>
      </c>
      <c r="J24" s="5" t="s">
        <v>281</v>
      </c>
    </row>
    <row r="25" spans="1:10" s="7" customFormat="1" x14ac:dyDescent="0.25">
      <c r="A25" s="9" t="s">
        <v>16</v>
      </c>
      <c r="B25" s="8">
        <v>46205</v>
      </c>
      <c r="C25" s="9" t="s">
        <v>11</v>
      </c>
      <c r="D25" s="9" t="s">
        <v>116</v>
      </c>
      <c r="E25" s="9" t="s">
        <v>282</v>
      </c>
      <c r="F25" s="10">
        <v>94</v>
      </c>
      <c r="G25" s="10"/>
      <c r="H25" s="8">
        <v>46213</v>
      </c>
      <c r="I25" s="9" t="s">
        <v>230</v>
      </c>
      <c r="J25" s="9" t="s">
        <v>283</v>
      </c>
    </row>
    <row r="26" spans="1:10" s="7" customFormat="1" x14ac:dyDescent="0.25">
      <c r="A26" s="5" t="s">
        <v>41</v>
      </c>
      <c r="B26" s="4">
        <v>46183</v>
      </c>
      <c r="C26" s="5" t="s">
        <v>11</v>
      </c>
      <c r="D26" s="5" t="s">
        <v>116</v>
      </c>
      <c r="E26" s="5" t="s">
        <v>284</v>
      </c>
      <c r="F26" s="6">
        <v>167</v>
      </c>
      <c r="G26" s="6"/>
      <c r="H26" s="4">
        <v>46227</v>
      </c>
      <c r="I26" s="5" t="s">
        <v>230</v>
      </c>
      <c r="J26" s="5" t="s">
        <v>285</v>
      </c>
    </row>
    <row r="27" spans="1:10" s="7" customFormat="1" x14ac:dyDescent="0.25">
      <c r="A27" s="9" t="s">
        <v>20</v>
      </c>
      <c r="B27" s="8">
        <v>46218</v>
      </c>
      <c r="C27" s="9" t="s">
        <v>11</v>
      </c>
      <c r="D27" s="9" t="s">
        <v>116</v>
      </c>
      <c r="E27" s="9" t="s">
        <v>286</v>
      </c>
      <c r="F27" s="10">
        <v>174</v>
      </c>
      <c r="G27" s="10"/>
      <c r="H27" s="8">
        <v>46227</v>
      </c>
      <c r="I27" s="9" t="s">
        <v>230</v>
      </c>
      <c r="J27" s="9" t="s">
        <v>287</v>
      </c>
    </row>
    <row r="28" spans="1:10" s="7" customFormat="1" x14ac:dyDescent="0.25">
      <c r="A28" s="5" t="s">
        <v>157</v>
      </c>
      <c r="B28" s="4">
        <v>46245</v>
      </c>
      <c r="C28" s="5" t="s">
        <v>11</v>
      </c>
      <c r="D28" s="5" t="s">
        <v>116</v>
      </c>
      <c r="E28" s="5" t="s">
        <v>288</v>
      </c>
      <c r="F28" s="6">
        <v>80</v>
      </c>
      <c r="G28" s="6"/>
      <c r="H28" s="4">
        <v>46262</v>
      </c>
      <c r="I28" s="5" t="s">
        <v>230</v>
      </c>
      <c r="J28" s="5" t="s">
        <v>289</v>
      </c>
    </row>
    <row r="29" spans="1:10" s="7" customFormat="1" x14ac:dyDescent="0.25">
      <c r="A29" s="9" t="s">
        <v>111</v>
      </c>
      <c r="B29" s="8">
        <v>46238</v>
      </c>
      <c r="C29" s="9" t="s">
        <v>11</v>
      </c>
      <c r="D29" s="9" t="s">
        <v>116</v>
      </c>
      <c r="E29" s="9" t="s">
        <v>290</v>
      </c>
      <c r="F29" s="10">
        <v>247</v>
      </c>
      <c r="G29" s="10"/>
      <c r="H29" s="8">
        <v>46255</v>
      </c>
      <c r="I29" s="9" t="s">
        <v>230</v>
      </c>
      <c r="J29" s="9" t="s">
        <v>291</v>
      </c>
    </row>
    <row r="30" spans="1:10" s="7" customFormat="1" x14ac:dyDescent="0.25">
      <c r="A30" s="5" t="s">
        <v>292</v>
      </c>
      <c r="B30" s="4">
        <v>46252</v>
      </c>
      <c r="C30" s="5" t="s">
        <v>11</v>
      </c>
      <c r="D30" s="5" t="s">
        <v>116</v>
      </c>
      <c r="E30" s="5" t="s">
        <v>293</v>
      </c>
      <c r="F30" s="6">
        <v>167</v>
      </c>
      <c r="G30" s="6"/>
      <c r="H30" s="4">
        <v>46279</v>
      </c>
      <c r="I30" s="5" t="s">
        <v>230</v>
      </c>
      <c r="J30" s="5" t="s">
        <v>294</v>
      </c>
    </row>
    <row r="31" spans="1:10" s="7" customFormat="1" x14ac:dyDescent="0.25">
      <c r="A31" s="9" t="s">
        <v>111</v>
      </c>
      <c r="B31" s="8">
        <v>46238</v>
      </c>
      <c r="C31" s="9" t="s">
        <v>11</v>
      </c>
      <c r="D31" s="9" t="s">
        <v>144</v>
      </c>
      <c r="E31" s="9" t="s">
        <v>295</v>
      </c>
      <c r="F31" s="10">
        <v>260.25</v>
      </c>
      <c r="G31" s="10"/>
      <c r="H31" s="8">
        <v>46255</v>
      </c>
      <c r="I31" s="9" t="s">
        <v>233</v>
      </c>
      <c r="J31" s="9" t="s">
        <v>296</v>
      </c>
    </row>
    <row r="32" spans="1:10" s="7" customFormat="1" x14ac:dyDescent="0.25">
      <c r="A32" s="5" t="s">
        <v>111</v>
      </c>
      <c r="B32" s="4">
        <v>46238</v>
      </c>
      <c r="C32" s="5" t="s">
        <v>11</v>
      </c>
      <c r="D32" s="5" t="s">
        <v>144</v>
      </c>
      <c r="E32" s="5" t="s">
        <v>297</v>
      </c>
      <c r="F32" s="6">
        <v>260.25</v>
      </c>
      <c r="G32" s="6"/>
      <c r="H32" s="4">
        <v>46255</v>
      </c>
      <c r="I32" s="5" t="s">
        <v>233</v>
      </c>
      <c r="J32" s="5" t="s">
        <v>296</v>
      </c>
    </row>
    <row r="33" spans="1:10" s="7" customFormat="1" x14ac:dyDescent="0.25">
      <c r="A33" s="9" t="s">
        <v>157</v>
      </c>
      <c r="B33" s="8">
        <v>46245</v>
      </c>
      <c r="C33" s="9" t="s">
        <v>11</v>
      </c>
      <c r="D33" s="9" t="s">
        <v>161</v>
      </c>
      <c r="E33" s="9" t="s">
        <v>298</v>
      </c>
      <c r="F33" s="10">
        <v>1189.4000000000001</v>
      </c>
      <c r="G33" s="10"/>
      <c r="H33" s="8">
        <v>46255</v>
      </c>
      <c r="I33" s="9" t="s">
        <v>233</v>
      </c>
      <c r="J33" s="9" t="s">
        <v>299</v>
      </c>
    </row>
    <row r="34" spans="1:10" s="7" customFormat="1" x14ac:dyDescent="0.25">
      <c r="A34" s="5" t="s">
        <v>204</v>
      </c>
      <c r="B34" s="4">
        <v>46178</v>
      </c>
      <c r="C34" s="5" t="s">
        <v>11</v>
      </c>
      <c r="D34" s="5" t="s">
        <v>183</v>
      </c>
      <c r="E34" s="5" t="s">
        <v>300</v>
      </c>
      <c r="F34" s="6">
        <v>74</v>
      </c>
      <c r="G34" s="6"/>
      <c r="H34" s="4">
        <v>46220</v>
      </c>
      <c r="I34" s="5" t="s">
        <v>373</v>
      </c>
      <c r="J34" s="5" t="s">
        <v>301</v>
      </c>
    </row>
    <row r="35" spans="1:10" s="7" customFormat="1" x14ac:dyDescent="0.25">
      <c r="A35" s="9" t="s">
        <v>115</v>
      </c>
      <c r="B35" s="8">
        <v>46190</v>
      </c>
      <c r="C35" s="9" t="s">
        <v>11</v>
      </c>
      <c r="D35" s="9" t="s">
        <v>183</v>
      </c>
      <c r="E35" s="9" t="s">
        <v>302</v>
      </c>
      <c r="F35" s="10">
        <v>54</v>
      </c>
      <c r="G35" s="10"/>
      <c r="H35" s="8">
        <v>46213</v>
      </c>
      <c r="I35" s="9" t="s">
        <v>193</v>
      </c>
      <c r="J35" s="9" t="s">
        <v>303</v>
      </c>
    </row>
    <row r="36" spans="1:10" s="7" customFormat="1" x14ac:dyDescent="0.25">
      <c r="A36" s="5" t="s">
        <v>304</v>
      </c>
      <c r="B36" s="4">
        <v>46246</v>
      </c>
      <c r="C36" s="5" t="s">
        <v>11</v>
      </c>
      <c r="D36" s="5" t="s">
        <v>195</v>
      </c>
      <c r="E36" s="5" t="s">
        <v>305</v>
      </c>
      <c r="F36" s="6">
        <v>17.7</v>
      </c>
      <c r="G36" s="6"/>
      <c r="H36" s="4">
        <v>46246</v>
      </c>
      <c r="I36" s="5" t="s">
        <v>233</v>
      </c>
      <c r="J36" s="5" t="s">
        <v>306</v>
      </c>
    </row>
    <row r="37" spans="1:10" s="7" customFormat="1" x14ac:dyDescent="0.25">
      <c r="A37" s="9" t="s">
        <v>304</v>
      </c>
      <c r="B37" s="8">
        <v>46246</v>
      </c>
      <c r="C37" s="9" t="s">
        <v>11</v>
      </c>
      <c r="D37" s="9" t="s">
        <v>195</v>
      </c>
      <c r="E37" s="9" t="s">
        <v>307</v>
      </c>
      <c r="F37" s="10">
        <v>17.7</v>
      </c>
      <c r="G37" s="10"/>
      <c r="H37" s="8">
        <v>46246</v>
      </c>
      <c r="I37" s="9" t="s">
        <v>233</v>
      </c>
      <c r="J37" s="9" t="s">
        <v>306</v>
      </c>
    </row>
    <row r="38" spans="1:10" s="7" customFormat="1" x14ac:dyDescent="0.25">
      <c r="A38" s="5" t="s">
        <v>29</v>
      </c>
      <c r="B38" s="4">
        <v>46248</v>
      </c>
      <c r="C38" s="5" t="s">
        <v>11</v>
      </c>
      <c r="D38" s="5" t="s">
        <v>195</v>
      </c>
      <c r="E38" s="5" t="s">
        <v>308</v>
      </c>
      <c r="F38" s="6">
        <v>444.27</v>
      </c>
      <c r="G38" s="6"/>
      <c r="H38" s="4">
        <v>46250</v>
      </c>
      <c r="I38" s="5" t="s">
        <v>233</v>
      </c>
      <c r="J38" s="5" t="s">
        <v>309</v>
      </c>
    </row>
    <row r="39" spans="1:10" s="7" customFormat="1" x14ac:dyDescent="0.25">
      <c r="A39" s="9" t="s">
        <v>29</v>
      </c>
      <c r="B39" s="8">
        <v>46248</v>
      </c>
      <c r="C39" s="9" t="s">
        <v>11</v>
      </c>
      <c r="D39" s="9" t="s">
        <v>195</v>
      </c>
      <c r="E39" s="9" t="s">
        <v>310</v>
      </c>
      <c r="F39" s="10">
        <v>444.27</v>
      </c>
      <c r="G39" s="10"/>
      <c r="H39" s="8">
        <v>46255</v>
      </c>
      <c r="I39" s="9" t="s">
        <v>233</v>
      </c>
      <c r="J39" s="9" t="s">
        <v>309</v>
      </c>
    </row>
    <row r="40" spans="1:10" s="7" customFormat="1" x14ac:dyDescent="0.25">
      <c r="A40" s="5" t="s">
        <v>248</v>
      </c>
      <c r="B40" s="4">
        <v>46241</v>
      </c>
      <c r="C40" s="5" t="s">
        <v>11</v>
      </c>
      <c r="D40" s="5" t="s">
        <v>195</v>
      </c>
      <c r="E40" s="5" t="s">
        <v>311</v>
      </c>
      <c r="F40" s="6">
        <v>120.95</v>
      </c>
      <c r="G40" s="6"/>
      <c r="H40" s="4">
        <v>46274</v>
      </c>
      <c r="I40" s="5" t="s">
        <v>233</v>
      </c>
      <c r="J40" s="5" t="s">
        <v>312</v>
      </c>
    </row>
    <row r="41" spans="1:10" s="7" customFormat="1" x14ac:dyDescent="0.25">
      <c r="A41" s="9" t="s">
        <v>248</v>
      </c>
      <c r="B41" s="8">
        <v>46241</v>
      </c>
      <c r="C41" s="9" t="s">
        <v>11</v>
      </c>
      <c r="D41" s="9" t="s">
        <v>195</v>
      </c>
      <c r="E41" s="9" t="s">
        <v>313</v>
      </c>
      <c r="F41" s="10">
        <v>33.04</v>
      </c>
      <c r="G41" s="10"/>
      <c r="H41" s="8">
        <v>46274</v>
      </c>
      <c r="I41" s="9" t="s">
        <v>233</v>
      </c>
      <c r="J41" s="9" t="s">
        <v>314</v>
      </c>
    </row>
    <row r="42" spans="1:10" s="7" customFormat="1" x14ac:dyDescent="0.25">
      <c r="A42" s="5" t="s">
        <v>29</v>
      </c>
      <c r="B42" s="4">
        <v>46237</v>
      </c>
      <c r="C42" s="5" t="s">
        <v>11</v>
      </c>
      <c r="D42" s="5" t="s">
        <v>205</v>
      </c>
      <c r="E42" s="5" t="s">
        <v>315</v>
      </c>
      <c r="F42" s="6">
        <v>20</v>
      </c>
      <c r="G42" s="6"/>
      <c r="H42" s="4">
        <v>46248</v>
      </c>
      <c r="I42" s="5" t="s">
        <v>230</v>
      </c>
      <c r="J42" s="5" t="s">
        <v>316</v>
      </c>
    </row>
    <row r="43" spans="1:10" s="7" customFormat="1" x14ac:dyDescent="0.25">
      <c r="A43" s="9" t="s">
        <v>81</v>
      </c>
      <c r="B43" s="8">
        <v>46224</v>
      </c>
      <c r="C43" s="9" t="s">
        <v>11</v>
      </c>
      <c r="D43" s="9" t="s">
        <v>205</v>
      </c>
      <c r="E43" s="9" t="s">
        <v>317</v>
      </c>
      <c r="F43" s="10">
        <v>50</v>
      </c>
      <c r="G43" s="10"/>
      <c r="H43" s="8">
        <v>46241</v>
      </c>
      <c r="I43" s="9" t="s">
        <v>230</v>
      </c>
      <c r="J43" s="9" t="s">
        <v>318</v>
      </c>
    </row>
    <row r="44" spans="1:10" s="7" customFormat="1" x14ac:dyDescent="0.25">
      <c r="A44" s="5" t="s">
        <v>81</v>
      </c>
      <c r="B44" s="4">
        <v>46241</v>
      </c>
      <c r="C44" s="5" t="s">
        <v>11</v>
      </c>
      <c r="D44" s="5" t="s">
        <v>205</v>
      </c>
      <c r="E44" s="5" t="s">
        <v>319</v>
      </c>
      <c r="F44" s="6">
        <v>25</v>
      </c>
      <c r="G44" s="6"/>
      <c r="H44" s="4">
        <v>46241</v>
      </c>
      <c r="I44" s="5" t="s">
        <v>230</v>
      </c>
      <c r="J44" s="5" t="s">
        <v>320</v>
      </c>
    </row>
    <row r="45" spans="1:10" s="7" customFormat="1" x14ac:dyDescent="0.25">
      <c r="A45" s="9" t="s">
        <v>248</v>
      </c>
      <c r="B45" s="8">
        <v>46241</v>
      </c>
      <c r="C45" s="9" t="s">
        <v>11</v>
      </c>
      <c r="D45" s="9" t="s">
        <v>205</v>
      </c>
      <c r="E45" s="9" t="s">
        <v>321</v>
      </c>
      <c r="F45" s="10">
        <v>16</v>
      </c>
      <c r="G45" s="10"/>
      <c r="H45" s="8">
        <v>46274</v>
      </c>
      <c r="I45" s="9" t="s">
        <v>230</v>
      </c>
      <c r="J45" s="9" t="s">
        <v>322</v>
      </c>
    </row>
    <row r="46" spans="1:10" s="7" customFormat="1" x14ac:dyDescent="0.25">
      <c r="A46" s="5" t="s">
        <v>248</v>
      </c>
      <c r="B46" s="4">
        <v>46241</v>
      </c>
      <c r="C46" s="5" t="s">
        <v>11</v>
      </c>
      <c r="D46" s="5" t="s">
        <v>205</v>
      </c>
      <c r="E46" s="5" t="s">
        <v>323</v>
      </c>
      <c r="F46" s="6">
        <v>20</v>
      </c>
      <c r="G46" s="6"/>
      <c r="H46" s="4">
        <v>46274</v>
      </c>
      <c r="I46" s="5" t="s">
        <v>230</v>
      </c>
      <c r="J46" s="5" t="s">
        <v>324</v>
      </c>
    </row>
    <row r="47" spans="1:10" s="7" customFormat="1" x14ac:dyDescent="0.25">
      <c r="A47" s="9" t="s">
        <v>111</v>
      </c>
      <c r="B47" s="8">
        <v>46238</v>
      </c>
      <c r="C47" s="9" t="s">
        <v>11</v>
      </c>
      <c r="D47" s="9" t="s">
        <v>205</v>
      </c>
      <c r="E47" s="9" t="s">
        <v>325</v>
      </c>
      <c r="F47" s="10">
        <v>78</v>
      </c>
      <c r="G47" s="10"/>
      <c r="H47" s="8">
        <v>46255</v>
      </c>
      <c r="I47" s="9" t="s">
        <v>230</v>
      </c>
      <c r="J47" s="9" t="s">
        <v>326</v>
      </c>
    </row>
    <row r="48" spans="1:10" s="7" customFormat="1" x14ac:dyDescent="0.25">
      <c r="A48" s="5" t="s">
        <v>292</v>
      </c>
      <c r="B48" s="4">
        <v>46252</v>
      </c>
      <c r="C48" s="5" t="s">
        <v>11</v>
      </c>
      <c r="D48" s="5" t="s">
        <v>205</v>
      </c>
      <c r="E48" s="5" t="s">
        <v>327</v>
      </c>
      <c r="F48" s="6">
        <v>57</v>
      </c>
      <c r="G48" s="6"/>
      <c r="H48" s="4">
        <v>46282</v>
      </c>
      <c r="I48" s="5" t="s">
        <v>230</v>
      </c>
      <c r="J48" s="5" t="s">
        <v>328</v>
      </c>
    </row>
    <row r="49" spans="1:10" s="7" customFormat="1" x14ac:dyDescent="0.25">
      <c r="A49" s="9" t="s">
        <v>81</v>
      </c>
      <c r="B49" s="8">
        <v>46241</v>
      </c>
      <c r="C49" s="9" t="s">
        <v>11</v>
      </c>
      <c r="D49" s="9" t="s">
        <v>223</v>
      </c>
      <c r="E49" s="9" t="s">
        <v>329</v>
      </c>
      <c r="F49" s="10">
        <v>130</v>
      </c>
      <c r="G49" s="10"/>
      <c r="H49" s="8">
        <v>46241</v>
      </c>
      <c r="I49" s="9" t="s">
        <v>230</v>
      </c>
      <c r="J49" s="9" t="s">
        <v>330</v>
      </c>
    </row>
    <row r="50" spans="1:10" s="7" customFormat="1" x14ac:dyDescent="0.25">
      <c r="A50" s="5" t="s">
        <v>111</v>
      </c>
      <c r="B50" s="4">
        <v>46238</v>
      </c>
      <c r="C50" s="5" t="s">
        <v>11</v>
      </c>
      <c r="D50" s="5" t="s">
        <v>223</v>
      </c>
      <c r="E50" s="5" t="s">
        <v>331</v>
      </c>
      <c r="F50" s="6">
        <v>90</v>
      </c>
      <c r="G50" s="6"/>
      <c r="H50" s="4">
        <v>46255</v>
      </c>
      <c r="I50" s="5" t="s">
        <v>230</v>
      </c>
      <c r="J50" s="5" t="s">
        <v>332</v>
      </c>
    </row>
    <row r="51" spans="1:10" s="7" customFormat="1" x14ac:dyDescent="0.25">
      <c r="A51" s="9" t="s">
        <v>292</v>
      </c>
      <c r="B51" s="8">
        <v>46252</v>
      </c>
      <c r="C51" s="9" t="s">
        <v>11</v>
      </c>
      <c r="D51" s="9" t="s">
        <v>223</v>
      </c>
      <c r="E51" s="9" t="s">
        <v>333</v>
      </c>
      <c r="F51" s="10">
        <v>140</v>
      </c>
      <c r="G51" s="10"/>
      <c r="H51" s="8">
        <v>46276</v>
      </c>
      <c r="I51" s="9" t="s">
        <v>230</v>
      </c>
      <c r="J51" s="9" t="s">
        <v>334</v>
      </c>
    </row>
    <row r="52" spans="1:10" s="7" customFormat="1" x14ac:dyDescent="0.25">
      <c r="A52" s="21" t="s">
        <v>157</v>
      </c>
      <c r="B52" s="22">
        <v>46113</v>
      </c>
      <c r="C52" s="21" t="s">
        <v>11</v>
      </c>
      <c r="D52" s="21" t="s">
        <v>335</v>
      </c>
      <c r="E52" s="21" t="s">
        <v>336</v>
      </c>
      <c r="F52" s="23">
        <v>954</v>
      </c>
      <c r="G52" s="23"/>
      <c r="H52" s="22">
        <v>46269</v>
      </c>
      <c r="I52" s="21" t="s">
        <v>230</v>
      </c>
      <c r="J52" s="21" t="s">
        <v>337</v>
      </c>
    </row>
    <row r="53" spans="1:10" x14ac:dyDescent="0.25">
      <c r="A53" s="21"/>
      <c r="B53" s="22"/>
      <c r="C53" s="21"/>
      <c r="D53" s="21"/>
      <c r="E53" s="21"/>
      <c r="F53" s="23">
        <f>SUBTOTAL(109,Tabla2[USD])</f>
        <v>7872.67</v>
      </c>
      <c r="G53" s="23">
        <f>SUBTOTAL(109,Tabla2[PEN])</f>
        <v>0</v>
      </c>
      <c r="H53" s="22"/>
      <c r="I53" s="21"/>
      <c r="J53" s="2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6C7D6-71C2-4E93-99C0-D94E05B1CA54}">
  <dimension ref="A1:J17"/>
  <sheetViews>
    <sheetView showGridLines="0" workbookViewId="0">
      <selection activeCell="A16" sqref="A16"/>
    </sheetView>
  </sheetViews>
  <sheetFormatPr baseColWidth="10" defaultRowHeight="15" x14ac:dyDescent="0.25"/>
  <cols>
    <col min="2" max="2" width="15.7109375" customWidth="1"/>
    <col min="4" max="4" width="50.42578125" bestFit="1" customWidth="1"/>
    <col min="8" max="8" width="12.42578125" customWidth="1"/>
    <col min="9" max="9" width="13.85546875" customWidth="1"/>
    <col min="10" max="10" width="81.42578125" customWidth="1"/>
  </cols>
  <sheetData>
    <row r="1" spans="1:10" x14ac:dyDescent="0.2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</row>
    <row r="2" spans="1:10" x14ac:dyDescent="0.25">
      <c r="A2" s="12" t="s">
        <v>33</v>
      </c>
      <c r="B2" s="11">
        <v>46176</v>
      </c>
      <c r="C2" s="12" t="s">
        <v>11</v>
      </c>
      <c r="D2" s="12" t="s">
        <v>25</v>
      </c>
      <c r="E2" s="12" t="s">
        <v>338</v>
      </c>
      <c r="F2" s="13">
        <v>261.48</v>
      </c>
      <c r="G2" s="13"/>
      <c r="H2" s="11">
        <v>46234</v>
      </c>
      <c r="I2" s="12" t="s">
        <v>339</v>
      </c>
      <c r="J2" s="12" t="s">
        <v>340</v>
      </c>
    </row>
    <row r="3" spans="1:10" x14ac:dyDescent="0.25">
      <c r="A3" s="12" t="s">
        <v>81</v>
      </c>
      <c r="B3" s="11">
        <v>46241</v>
      </c>
      <c r="C3" s="12" t="s">
        <v>11</v>
      </c>
      <c r="D3" s="12" t="s">
        <v>139</v>
      </c>
      <c r="E3" s="12" t="s">
        <v>341</v>
      </c>
      <c r="F3" s="13"/>
      <c r="G3" s="13">
        <v>22.4</v>
      </c>
      <c r="H3" s="11">
        <v>46241</v>
      </c>
      <c r="I3" s="12" t="s">
        <v>342</v>
      </c>
      <c r="J3" s="12" t="s">
        <v>343</v>
      </c>
    </row>
    <row r="4" spans="1:10" x14ac:dyDescent="0.25">
      <c r="A4" s="12" t="s">
        <v>81</v>
      </c>
      <c r="B4" s="11">
        <v>46241</v>
      </c>
      <c r="C4" s="12" t="s">
        <v>11</v>
      </c>
      <c r="D4" s="12" t="s">
        <v>139</v>
      </c>
      <c r="E4" s="12" t="s">
        <v>344</v>
      </c>
      <c r="F4" s="13"/>
      <c r="G4" s="13">
        <v>22.4</v>
      </c>
      <c r="H4" s="11">
        <v>46241</v>
      </c>
      <c r="I4" s="12" t="s">
        <v>342</v>
      </c>
      <c r="J4" s="12" t="s">
        <v>343</v>
      </c>
    </row>
    <row r="5" spans="1:10" x14ac:dyDescent="0.25">
      <c r="A5" s="12" t="s">
        <v>81</v>
      </c>
      <c r="B5" s="11">
        <v>46241</v>
      </c>
      <c r="C5" s="12" t="s">
        <v>11</v>
      </c>
      <c r="D5" s="12" t="s">
        <v>139</v>
      </c>
      <c r="E5" s="12" t="s">
        <v>345</v>
      </c>
      <c r="F5" s="13"/>
      <c r="G5" s="13">
        <v>13.6</v>
      </c>
      <c r="H5" s="11">
        <v>46241</v>
      </c>
      <c r="I5" s="12" t="s">
        <v>342</v>
      </c>
      <c r="J5" s="12" t="s">
        <v>346</v>
      </c>
    </row>
    <row r="6" spans="1:10" x14ac:dyDescent="0.25">
      <c r="A6" s="12" t="s">
        <v>81</v>
      </c>
      <c r="B6" s="11">
        <v>46241</v>
      </c>
      <c r="C6" s="12" t="s">
        <v>11</v>
      </c>
      <c r="D6" s="12" t="s">
        <v>139</v>
      </c>
      <c r="E6" s="12" t="s">
        <v>347</v>
      </c>
      <c r="F6" s="13"/>
      <c r="G6" s="13">
        <v>13.6</v>
      </c>
      <c r="H6" s="11">
        <v>46241</v>
      </c>
      <c r="I6" s="12" t="s">
        <v>342</v>
      </c>
      <c r="J6" s="12" t="s">
        <v>346</v>
      </c>
    </row>
    <row r="7" spans="1:10" x14ac:dyDescent="0.25">
      <c r="A7" s="12" t="s">
        <v>81</v>
      </c>
      <c r="B7" s="11">
        <v>46241</v>
      </c>
      <c r="C7" s="12" t="s">
        <v>11</v>
      </c>
      <c r="D7" s="12" t="s">
        <v>139</v>
      </c>
      <c r="E7" s="12" t="s">
        <v>348</v>
      </c>
      <c r="F7" s="13"/>
      <c r="G7" s="13">
        <v>5.9</v>
      </c>
      <c r="H7" s="11">
        <v>46241</v>
      </c>
      <c r="I7" s="12" t="s">
        <v>342</v>
      </c>
      <c r="J7" s="12" t="s">
        <v>349</v>
      </c>
    </row>
    <row r="8" spans="1:10" x14ac:dyDescent="0.25">
      <c r="A8" s="12" t="s">
        <v>81</v>
      </c>
      <c r="B8" s="11">
        <v>46241</v>
      </c>
      <c r="C8" s="12" t="s">
        <v>11</v>
      </c>
      <c r="D8" s="12" t="s">
        <v>139</v>
      </c>
      <c r="E8" s="12" t="s">
        <v>350</v>
      </c>
      <c r="F8" s="13"/>
      <c r="G8" s="13">
        <v>5.9</v>
      </c>
      <c r="H8" s="11">
        <v>46241</v>
      </c>
      <c r="I8" s="12" t="s">
        <v>342</v>
      </c>
      <c r="J8" s="12" t="s">
        <v>349</v>
      </c>
    </row>
    <row r="9" spans="1:10" x14ac:dyDescent="0.25">
      <c r="A9" s="12" t="s">
        <v>33</v>
      </c>
      <c r="B9" s="11">
        <v>46248</v>
      </c>
      <c r="C9" s="12" t="s">
        <v>11</v>
      </c>
      <c r="D9" s="12" t="s">
        <v>183</v>
      </c>
      <c r="E9" s="12" t="s">
        <v>351</v>
      </c>
      <c r="F9" s="13">
        <v>111</v>
      </c>
      <c r="G9" s="13"/>
      <c r="H9" s="11">
        <v>46251</v>
      </c>
      <c r="I9" s="12" t="s">
        <v>352</v>
      </c>
      <c r="J9" s="12" t="s">
        <v>353</v>
      </c>
    </row>
    <row r="10" spans="1:10" x14ac:dyDescent="0.25">
      <c r="A10" s="12" t="s">
        <v>41</v>
      </c>
      <c r="B10" s="11">
        <v>46178</v>
      </c>
      <c r="C10" s="12" t="s">
        <v>11</v>
      </c>
      <c r="D10" s="12" t="s">
        <v>183</v>
      </c>
      <c r="E10" s="12" t="s">
        <v>354</v>
      </c>
      <c r="F10" s="13">
        <v>137</v>
      </c>
      <c r="G10" s="13"/>
      <c r="H10" s="11">
        <v>46234</v>
      </c>
      <c r="I10" s="12" t="s">
        <v>355</v>
      </c>
      <c r="J10" s="12" t="s">
        <v>356</v>
      </c>
    </row>
    <row r="11" spans="1:10" x14ac:dyDescent="0.25">
      <c r="A11" s="12" t="s">
        <v>111</v>
      </c>
      <c r="B11" s="11">
        <v>46234</v>
      </c>
      <c r="C11" s="12" t="s">
        <v>11</v>
      </c>
      <c r="D11" s="12" t="s">
        <v>183</v>
      </c>
      <c r="E11" s="12" t="s">
        <v>357</v>
      </c>
      <c r="F11" s="13">
        <v>26</v>
      </c>
      <c r="G11" s="13"/>
      <c r="H11" s="11">
        <v>46248</v>
      </c>
      <c r="I11" s="12" t="s">
        <v>358</v>
      </c>
      <c r="J11" s="12" t="s">
        <v>359</v>
      </c>
    </row>
    <row r="12" spans="1:10" x14ac:dyDescent="0.25">
      <c r="A12" s="12" t="s">
        <v>24</v>
      </c>
      <c r="B12" s="11">
        <v>46177</v>
      </c>
      <c r="C12" s="12" t="s">
        <v>11</v>
      </c>
      <c r="D12" s="12" t="s">
        <v>195</v>
      </c>
      <c r="E12" s="12" t="s">
        <v>360</v>
      </c>
      <c r="F12" s="13">
        <v>873.2</v>
      </c>
      <c r="G12" s="13"/>
      <c r="H12" s="11">
        <v>46234</v>
      </c>
      <c r="I12" s="12" t="s">
        <v>361</v>
      </c>
      <c r="J12" s="12" t="s">
        <v>362</v>
      </c>
    </row>
    <row r="13" spans="1:10" x14ac:dyDescent="0.25">
      <c r="A13" s="12" t="s">
        <v>363</v>
      </c>
      <c r="B13" s="11">
        <v>46209</v>
      </c>
      <c r="C13" s="12" t="s">
        <v>11</v>
      </c>
      <c r="D13" s="12" t="s">
        <v>195</v>
      </c>
      <c r="E13" s="12" t="s">
        <v>364</v>
      </c>
      <c r="F13" s="13">
        <v>86.14</v>
      </c>
      <c r="G13" s="13"/>
      <c r="H13" s="11">
        <v>46248</v>
      </c>
      <c r="I13" s="12" t="s">
        <v>365</v>
      </c>
      <c r="J13" s="12" t="s">
        <v>366</v>
      </c>
    </row>
    <row r="14" spans="1:10" x14ac:dyDescent="0.25">
      <c r="A14" s="15" t="s">
        <v>16</v>
      </c>
      <c r="B14" s="14">
        <v>46205</v>
      </c>
      <c r="C14" s="15" t="s">
        <v>11</v>
      </c>
      <c r="D14" s="15" t="s">
        <v>205</v>
      </c>
      <c r="E14" s="15" t="s">
        <v>367</v>
      </c>
      <c r="F14" s="16">
        <v>45</v>
      </c>
      <c r="G14" s="16"/>
      <c r="H14" s="14">
        <v>46220</v>
      </c>
      <c r="I14" s="15" t="s">
        <v>339</v>
      </c>
      <c r="J14" s="15" t="s">
        <v>368</v>
      </c>
    </row>
    <row r="15" spans="1:10" x14ac:dyDescent="0.25">
      <c r="A15" s="24" t="s">
        <v>369</v>
      </c>
      <c r="B15" s="25">
        <v>46203</v>
      </c>
      <c r="C15" s="24" t="s">
        <v>11</v>
      </c>
      <c r="D15" s="24" t="s">
        <v>205</v>
      </c>
      <c r="E15" s="24" t="s">
        <v>370</v>
      </c>
      <c r="F15" s="26">
        <v>16</v>
      </c>
      <c r="G15" s="26"/>
      <c r="H15" s="25">
        <v>46239</v>
      </c>
      <c r="I15" s="24" t="s">
        <v>339</v>
      </c>
      <c r="J15" s="24" t="s">
        <v>371</v>
      </c>
    </row>
    <row r="16" spans="1:10" x14ac:dyDescent="0.25">
      <c r="A16" s="24" t="s">
        <v>115</v>
      </c>
      <c r="B16" s="25">
        <v>46190</v>
      </c>
      <c r="C16" s="24" t="s">
        <v>11</v>
      </c>
      <c r="D16" s="24" t="s">
        <v>183</v>
      </c>
      <c r="E16" s="24" t="s">
        <v>302</v>
      </c>
      <c r="F16" s="26">
        <v>54</v>
      </c>
      <c r="G16" s="26"/>
      <c r="H16" s="25">
        <v>46213</v>
      </c>
      <c r="I16" s="24" t="s">
        <v>193</v>
      </c>
      <c r="J16" s="24" t="s">
        <v>303</v>
      </c>
    </row>
    <row r="17" spans="1:10" x14ac:dyDescent="0.25">
      <c r="A17" s="27"/>
      <c r="B17" s="28"/>
      <c r="C17" s="27"/>
      <c r="D17" s="27"/>
      <c r="E17" s="27"/>
      <c r="F17" s="29">
        <f>SUBTOTAL(109,Tabla3[USD])</f>
        <v>1609.8200000000002</v>
      </c>
      <c r="G17" s="29">
        <f>SUBTOTAL(109,Tabla3[PEN])</f>
        <v>83.800000000000011</v>
      </c>
      <c r="H17" s="28"/>
      <c r="I17" s="27"/>
      <c r="J17" s="27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Pendiente_pago</vt:lpstr>
      <vt:lpstr>Pendiente_comprobante</vt:lpstr>
      <vt:lpstr>Obs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ventas braidy wonders</dc:creator>
  <cp:lastModifiedBy>ventas braidy wonders</cp:lastModifiedBy>
  <dcterms:created xsi:type="dcterms:W3CDTF">2026-08-19T22:44:34Z</dcterms:created>
  <dcterms:modified xsi:type="dcterms:W3CDTF">2026-08-20T22:26:14Z</dcterms:modified>
</cp:coreProperties>
</file>