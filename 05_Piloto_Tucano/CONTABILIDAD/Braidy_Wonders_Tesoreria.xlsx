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tesoreria01\Downloads\"/>
    </mc:Choice>
  </mc:AlternateContent>
  <xr:revisionPtr revIDLastSave="0" documentId="13_ncr:1_{A215FEC0-B2A7-43B1-A13D-0C0565E5895C}" xr6:coauthVersionLast="47" xr6:coauthVersionMax="47" xr10:uidLastSave="{00000000-0000-0000-0000-000000000000}"/>
  <bookViews>
    <workbookView xWindow="-28920" yWindow="-120" windowWidth="29040" windowHeight="15720" xr2:uid="{00000000-000D-0000-FFFF-FFFF00000000}"/>
  </bookViews>
  <sheets>
    <sheet name="Resumen Empresa" sheetId="1" r:id="rId1"/>
    <sheet name="Guía Detracciones" sheetId="2" r:id="rId2"/>
    <sheet name="Categorías y Tasas" sheetId="3" r:id="rId3"/>
    <sheet name="Checklist Diario Facturas" sheetId="4" r:id="rId4"/>
    <sheet name="Plan de Cuentas PCGE" sheetId="5" r:id="rId5"/>
    <sheet name="Asientos Tipo" sheetId="6" r:id="rId6"/>
    <sheet name="Contexto Tributario" sheetId="7" r:id="rId7"/>
  </sheets>
  <definedNames>
    <definedName name="_xlnm._FilterDatabase" localSheetId="2" hidden="1">'Categorías y Tasas'!$A$4:$I$36</definedName>
    <definedName name="_xlnm._FilterDatabase" localSheetId="4" hidden="1">'Plan de Cuentas PCGE'!$A$4:$D$30</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4" l="1"/>
  <c r="H5" i="4"/>
  <c r="I5" i="4"/>
  <c r="K5" i="4"/>
  <c r="J6" i="4"/>
  <c r="H6" i="4"/>
  <c r="I6" i="4"/>
  <c r="K6" i="4"/>
  <c r="J7" i="4"/>
  <c r="H7" i="4"/>
  <c r="I7" i="4"/>
  <c r="K7" i="4"/>
  <c r="J8" i="4"/>
  <c r="K8" i="4"/>
  <c r="J9" i="4"/>
  <c r="K9" i="4"/>
  <c r="J10" i="4"/>
  <c r="K10" i="4"/>
  <c r="J11" i="4"/>
  <c r="K11" i="4"/>
  <c r="J12" i="4"/>
  <c r="K12" i="4"/>
  <c r="J13" i="4"/>
  <c r="K13" i="4"/>
  <c r="J14" i="4"/>
  <c r="K14" i="4"/>
  <c r="J15" i="4"/>
  <c r="K15" i="4"/>
  <c r="J16" i="4"/>
  <c r="K16" i="4"/>
  <c r="J17" i="4"/>
  <c r="K17" i="4"/>
  <c r="J18" i="4"/>
  <c r="K18" i="4"/>
  <c r="J19" i="4"/>
  <c r="K19" i="4"/>
  <c r="J20" i="4"/>
  <c r="K20" i="4"/>
  <c r="J21" i="4"/>
  <c r="K21" i="4"/>
  <c r="J22" i="4"/>
  <c r="K22" i="4"/>
  <c r="J23" i="4"/>
  <c r="K23" i="4"/>
  <c r="J24" i="4"/>
  <c r="K24" i="4"/>
  <c r="J25" i="4"/>
  <c r="K25" i="4"/>
  <c r="J26" i="4"/>
  <c r="K26" i="4"/>
  <c r="J27" i="4"/>
  <c r="K27" i="4"/>
  <c r="J28" i="4"/>
  <c r="K28" i="4"/>
  <c r="J29" i="4"/>
  <c r="K29" i="4"/>
  <c r="J30" i="4"/>
  <c r="K30" i="4"/>
  <c r="J31" i="4"/>
  <c r="K31" i="4"/>
  <c r="J32" i="4"/>
  <c r="K32" i="4"/>
  <c r="J33" i="4"/>
  <c r="K33" i="4"/>
  <c r="J34" i="4"/>
  <c r="K34" i="4"/>
  <c r="J35" i="4"/>
  <c r="K35" i="4"/>
  <c r="J36" i="4"/>
  <c r="K36" i="4"/>
  <c r="J37" i="4"/>
  <c r="K37" i="4"/>
  <c r="J38" i="4"/>
  <c r="K38" i="4"/>
  <c r="J39" i="4"/>
  <c r="K39" i="4"/>
  <c r="J40" i="4"/>
  <c r="K40" i="4"/>
  <c r="J41" i="4"/>
  <c r="K41" i="4"/>
  <c r="J42" i="4"/>
  <c r="K42" i="4"/>
  <c r="J43" i="4"/>
  <c r="K43" i="4"/>
  <c r="J44" i="4"/>
  <c r="K44" i="4"/>
  <c r="J45" i="4"/>
  <c r="K45" i="4"/>
  <c r="J46" i="4"/>
  <c r="K46" i="4"/>
  <c r="J47" i="4"/>
  <c r="K47" i="4"/>
  <c r="J48" i="4"/>
  <c r="K48" i="4"/>
  <c r="J49" i="4"/>
  <c r="K49" i="4"/>
  <c r="J50" i="4"/>
  <c r="K50" i="4"/>
  <c r="J51" i="4"/>
  <c r="K51" i="4"/>
  <c r="J52" i="4"/>
  <c r="K52" i="4"/>
  <c r="J53" i="4"/>
  <c r="K53" i="4"/>
  <c r="J54" i="4"/>
  <c r="K54" i="4"/>
  <c r="J55" i="4"/>
  <c r="K55" i="4"/>
  <c r="J56" i="4"/>
  <c r="K56" i="4"/>
  <c r="J57" i="4"/>
  <c r="K57" i="4"/>
  <c r="J58" i="4"/>
  <c r="K58" i="4"/>
  <c r="J59" i="4"/>
  <c r="K59" i="4"/>
  <c r="J60" i="4"/>
  <c r="K60" i="4"/>
  <c r="J61" i="4"/>
  <c r="K61" i="4"/>
  <c r="J62" i="4"/>
  <c r="K62" i="4"/>
  <c r="J63" i="4"/>
  <c r="K63" i="4"/>
  <c r="J64" i="4"/>
  <c r="K64" i="4"/>
  <c r="K66"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6"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6" i="4"/>
  <c r="G66" i="4"/>
  <c r="M64" i="4"/>
  <c r="M63" i="4"/>
  <c r="M62" i="4"/>
  <c r="M61" i="4"/>
  <c r="M60" i="4"/>
  <c r="M59" i="4"/>
  <c r="M58" i="4"/>
  <c r="M57" i="4"/>
  <c r="M56" i="4"/>
  <c r="M55" i="4"/>
  <c r="M54" i="4"/>
  <c r="M53" i="4"/>
  <c r="M52" i="4"/>
  <c r="M51" i="4"/>
  <c r="M50" i="4"/>
  <c r="M49" i="4"/>
  <c r="M48" i="4"/>
  <c r="M47" i="4"/>
  <c r="M46" i="4"/>
  <c r="M45" i="4"/>
  <c r="M44" i="4"/>
  <c r="M43" i="4"/>
  <c r="M42" i="4"/>
  <c r="M41" i="4"/>
  <c r="M40" i="4"/>
  <c r="M39" i="4"/>
  <c r="M38" i="4"/>
  <c r="M37" i="4"/>
  <c r="M36" i="4"/>
  <c r="M35" i="4"/>
  <c r="M34" i="4"/>
  <c r="M33" i="4"/>
  <c r="M32" i="4"/>
  <c r="M31" i="4"/>
  <c r="M30" i="4"/>
  <c r="M29" i="4"/>
  <c r="M28" i="4"/>
  <c r="M27" i="4"/>
  <c r="M26" i="4"/>
  <c r="M25" i="4"/>
  <c r="M24" i="4"/>
  <c r="M23" i="4"/>
  <c r="M22" i="4"/>
  <c r="M21" i="4"/>
  <c r="M20" i="4"/>
  <c r="M19" i="4"/>
  <c r="M18" i="4"/>
  <c r="M17" i="4"/>
  <c r="M16" i="4"/>
  <c r="M15" i="4"/>
  <c r="M14" i="4"/>
  <c r="M13" i="4"/>
  <c r="M12" i="4"/>
  <c r="M11" i="4"/>
  <c r="M10" i="4"/>
  <c r="M9" i="4"/>
  <c r="M8" i="4"/>
  <c r="M7" i="4"/>
  <c r="M6" i="4"/>
  <c r="M5" i="4"/>
</calcChain>
</file>

<file path=xl/sharedStrings.xml><?xml version="1.0" encoding="utf-8"?>
<sst xmlns="http://schemas.openxmlformats.org/spreadsheetml/2006/main" count="575" uniqueCount="393">
  <si>
    <t>BRAIDY WONDERS SAC — Tesorería</t>
  </si>
  <si>
    <t>Ficha de la empresa y guía de uso del libro</t>
  </si>
  <si>
    <t>DATOS GENERALES (según Ficha RUC)</t>
  </si>
  <si>
    <t>Razón social</t>
  </si>
  <si>
    <t>BRAIDY WONDERS SAC</t>
  </si>
  <si>
    <t>RUC</t>
  </si>
  <si>
    <t>20605765417</t>
  </si>
  <si>
    <t>Tipo de contribuyente</t>
  </si>
  <si>
    <t>Sociedad Anónima Cerrada (39)</t>
  </si>
  <si>
    <t>Estado / Condición</t>
  </si>
  <si>
    <t>ACTIVO / HABIDO</t>
  </si>
  <si>
    <t>Fecha de inicio de actividades</t>
  </si>
  <si>
    <t>15/01/2020</t>
  </si>
  <si>
    <t>Emisor electrónico desde</t>
  </si>
  <si>
    <t>01/07/2020 (Boleta), 20/08/2020 (Factura)</t>
  </si>
  <si>
    <t>Actividad económica principal</t>
  </si>
  <si>
    <t>7911 - Actividades de agencias de viajes</t>
  </si>
  <si>
    <t>Actividad económica secundaria 1</t>
  </si>
  <si>
    <t>8690 - Otras actividades de atención de la salud humana</t>
  </si>
  <si>
    <t>Actividad económica secundaria 2</t>
  </si>
  <si>
    <t>5510 - Actividades de alojamiento para estancias cortas</t>
  </si>
  <si>
    <t>Comercio exterior</t>
  </si>
  <si>
    <t>Importador / Exportador</t>
  </si>
  <si>
    <t>Sistema de contabilidad</t>
  </si>
  <si>
    <t>Manual / Computarizado</t>
  </si>
  <si>
    <t>Régimen de renta (tributo afecto)</t>
  </si>
  <si>
    <t>Régimen MYPE Tributario (desde 01/01/2021)</t>
  </si>
  <si>
    <t>Domicilio fiscal</t>
  </si>
  <si>
    <t>Av. General José de San Martín 140, Dpto. 104, Urb. Confraternidad, Barranco, Lima</t>
  </si>
  <si>
    <t>Correo tesorería</t>
  </si>
  <si>
    <t>tesoreria@braidywonders.com</t>
  </si>
  <si>
    <t>TRIBUTOS REGISTRADOS (afectos)</t>
  </si>
  <si>
    <t>•</t>
  </si>
  <si>
    <t>IGV - Operaciones internas, cuenta propia (desde 15/01/2020)</t>
  </si>
  <si>
    <t>Impuesto Temporal a los Activos Netos - ITAN (desde 01/03/2026)</t>
  </si>
  <si>
    <t>Renta de 4ta categoría - Retenciones (desde 01/03/2021)</t>
  </si>
  <si>
    <t>Renta de 5ta categoría - Retenciones (desde 01/09/2020)</t>
  </si>
  <si>
    <t>Renta - Régimen MYPE Tributario (desde 01/01/2021)</t>
  </si>
  <si>
    <t>ESSALUD - Seguro Regular del Trabajador (desde 01/09/2020)</t>
  </si>
  <si>
    <t>CÓMO USAR ESTE LIBRO</t>
  </si>
  <si>
    <t>1. Guía Detracciones</t>
  </si>
  <si>
    <t>Reglas generales del sistema de detracciones (SPOT): montos mínimos, plazos de depósito, sanciones, liberación de fondos.</t>
  </si>
  <si>
    <t>2. Categorías y Tasas</t>
  </si>
  <si>
    <t>Catálogo completo de bienes (Anexo 1 y 2) y servicios (Anexo 3) sujetos a detracción, con % y monto mínimo. Es la tabla base para clasificar cada factura.</t>
  </si>
  <si>
    <t>3. Checklist Diario Facturas</t>
  </si>
  <si>
    <t>Hoja de trabajo: registra cada factura de proveedor recibida y el libro calcula automáticamente si aplica detracción, el % y el monto a depositar.</t>
  </si>
  <si>
    <t>4. Plan de Cuentas PCGE</t>
  </si>
  <si>
    <t>Cuentas contables sugeridas (PCGE) para registrar compras, IGV y detracciones.</t>
  </si>
  <si>
    <t>5. Asientos Tipo</t>
  </si>
  <si>
    <t>Ejemplos numéricos de asientos contables con y sin detracción, y del lado 'vendedor' (cuando Braidy Wonders emite comprobantes que también podrían estar sujetos).</t>
  </si>
  <si>
    <t>6. Contexto Tributario</t>
  </si>
  <si>
    <t>Resumen de IGV, Régimen MYPE Tributario, cronograma de vencimientos y obligaciones formales relevantes para la empresa.</t>
  </si>
  <si>
    <t>Nota: esta guía es un apoyo de trabajo elaborado a partir de la normativa pública de SUNAT (R.S. N.° 183-2004/SUNAT y modificatorias) y fuentes especializadas. Para casos dudosos o de alto monto, valida el criterio con tu contador/asesor tributario antes de aplicar.</t>
  </si>
  <si>
    <t>Sistema de Detracciones (SPOT) — Guía General</t>
  </si>
  <si>
    <t>Base legal: R.S. N.° 183-2004/SUNAT y modificatorias (D.Leg. 940)</t>
  </si>
  <si>
    <t>¿Qué es?</t>
  </si>
  <si>
    <t>El adquirente/usuario de un bien o servicio 'detrae' (descuenta) un porcentaje del precio de venta y lo deposita en una cuenta del Banco de la Nación a nombre del PROVEEDOR. Esos fondos solo pueden usarse para pagar tributos, costas y gastos del proveedor; garantizan que SUNAT recaude el IGV de operaciones con alto riesgo de evasión.</t>
  </si>
  <si>
    <t>¿Cuándo aplica (bienes Anexo 1)?</t>
  </si>
  <si>
    <t>Operaciones de venta gravadas con IGV por un importe MAYOR a 1/2 UIT (1/2 UIT 2026 = S/ 2,750, referencial; usar UIT vigente al momento de la operación). El depósito se hace ANTES del traslado del bien.</t>
  </si>
  <si>
    <t>¿Cuándo aplica (bienes Anexo 2 y servicios Anexo 3)?</t>
  </si>
  <si>
    <t>Operaciones gravadas con IGV cuyo importe sea MAYOR a S/ 700 (igual o menor a S/ 700 → NO se detrae, salvo excepciones puntuales como transporte de carga con umbral de S/ 400).</t>
  </si>
  <si>
    <t>¿Quién deposita y cuándo (servicios/bienes Anexo 2 y 3)?</t>
  </si>
  <si>
    <t>Regla general: el ADQUIRENTE deposita hasta la fecha de pago parcial o total al proveedor, o dentro del 5.° día hábil del mes siguiente a la anotación del comprobante en el Registro de Compras, lo que ocurra primero. Si el proveedor recibe el importe total sin que el adquirente haya depositado, el proveedor debe depositar dentro de los 5 días hábiles siguientes.</t>
  </si>
  <si>
    <t>Efecto sobre el crédito fiscal / costo o gasto</t>
  </si>
  <si>
    <t>Sin la constancia de depósito de la detracción, el comprador NO puede ejercer el crédito fiscal del IGV ni sustentar el costo o gasto para el Impuesto a la Renta de esa operación, hasta que regularice el depósito.</t>
  </si>
  <si>
    <t>Sanciones por incumplimiento</t>
  </si>
  <si>
    <t>• No depositar en el plazo: multa del 50% del monto no depositado (subsanable con rebaja).
• Usar los fondos de la cuenta de detracciones en fines distintos a los permitidos: multa del 100% del importe indebidamente utilizado.
• Trasladar bienes sin el depósito previo (Anexo 1): multa del 50% del monto no depositado.</t>
  </si>
  <si>
    <t>Liberación de fondos (para cuando Braidy Wonders es el proveedor detraído)</t>
  </si>
  <si>
    <t>Si los fondos de la cuenta de detracciones acumulan montos no agotados en el pago de tributos, se puede solicitar su liberación ante SUNAT hasta 4 veces al año (fechas fijas: primeros 5 días hábiles de enero, abril, julio y octubre), siempre que no exista deuda tributaria pendiente y se esté al día en PLE/registros exigidos. SUNAT resuelve y, de ser aprobada, el monto se puede cobrar en un plazo de 15 días hábiles desde la notificación.</t>
  </si>
  <si>
    <t>Código, número de cuenta y comprobante</t>
  </si>
  <si>
    <t>Cada depósito se hace por el Nº de RUC del proveedor, con el código del bien/servicio (Anexo 4), usando el Formulario Virtual 1662 (o vía SUNAT Virtual / banca por internet convenio con Banco de la Nación). El sistema genera una Constancia de Depósito que debe conservarse y referenciarse en el registro contable.</t>
  </si>
  <si>
    <t>Numeral 10 — 'Demás servicios gravados con el IGV' (código 037, 12%)</t>
  </si>
  <si>
    <t>Es una categoría 'residual': aplica a cualquier servicio gravado con IGV que no esté en otro numeral específico del Anexo 3 y que no sea alguna de las EXCLUSIONES expresas (p. ej.: servicios prestados por sujetos no domiciliados, laudos/espectáculos públicos, algunos servicios ya sujetos a otros regímenes). En la práctica, muchos servicios que recibe una agencia de viajes (guiado, coordinación, servicios operativos tercerizados, comisiones no clasificadas en otro numeral, etc.) terminan cayendo aquí. Ante la duda, verificar primero si encaja en un numeral específico (arrendamiento, mantenimiento, transporte, etc.); si no encaja y es un servicio gravado con IGV mayor a S/ 700, se aplica 12% por el numeral 10.</t>
  </si>
  <si>
    <t>Catálogo de Bienes y Servicios Sujetos a Detracción</t>
  </si>
  <si>
    <t>Anexos 1, 2 y 3 de la R.S. N.° 183-2004/SUNAT — tasas vigentes 2026</t>
  </si>
  <si>
    <t>Anexo</t>
  </si>
  <si>
    <t>Código</t>
  </si>
  <si>
    <t>Bien / Servicio</t>
  </si>
  <si>
    <t>Tasa</t>
  </si>
  <si>
    <t>Monto mínimo</t>
  </si>
  <si>
    <t>Cuenta PCGE sugerida (gasto/compra)</t>
  </si>
  <si>
    <t>Relevancia para Braidy Wonders (proveedores)</t>
  </si>
  <si>
    <t>Clave (uso interno - no borrar)</t>
  </si>
  <si>
    <t>Umbral S/ (numérico, uso interno)</t>
  </si>
  <si>
    <t>Anexo 1</t>
  </si>
  <si>
    <t>001</t>
  </si>
  <si>
    <t>Azúcar y melaza de caña</t>
  </si>
  <si>
    <t>&gt; 1/2 UIT</t>
  </si>
  <si>
    <t>60 Compras</t>
  </si>
  <si>
    <t>Baja</t>
  </si>
  <si>
    <t>001 - Azúcar y melaza de caña</t>
  </si>
  <si>
    <t>003</t>
  </si>
  <si>
    <t>Alcohol etílico</t>
  </si>
  <si>
    <t>003 - Alcohol etílico</t>
  </si>
  <si>
    <t>Anexo 2</t>
  </si>
  <si>
    <t>004</t>
  </si>
  <si>
    <t>Recursos hidrobiológicos</t>
  </si>
  <si>
    <t>S/ 700</t>
  </si>
  <si>
    <t>004 - Recursos hidrobiológicos</t>
  </si>
  <si>
    <t>005</t>
  </si>
  <si>
    <t>Maíz amarillo duro</t>
  </si>
  <si>
    <t>005 - Maíz amarillo duro</t>
  </si>
  <si>
    <t>007</t>
  </si>
  <si>
    <t>Caña de azúcar</t>
  </si>
  <si>
    <t>007 - Caña de azúcar</t>
  </si>
  <si>
    <t>008</t>
  </si>
  <si>
    <t>Madera</t>
  </si>
  <si>
    <t>60 Compras / 63 Serv. terceros</t>
  </si>
  <si>
    <t>008 - Madera</t>
  </si>
  <si>
    <t>009</t>
  </si>
  <si>
    <t>Arena y piedra</t>
  </si>
  <si>
    <t>009 - Arena y piedra</t>
  </si>
  <si>
    <t>010</t>
  </si>
  <si>
    <t>Residuos, subproductos, desechos y chatarra</t>
  </si>
  <si>
    <t>010 - Residuos, subproductos, desechos y chatarra</t>
  </si>
  <si>
    <t>011</t>
  </si>
  <si>
    <t>Bienes gravados con IGV por renuncia a exoneración</t>
  </si>
  <si>
    <t>011 - Bienes gravados con IGV por renuncia a exoneración</t>
  </si>
  <si>
    <t>014</t>
  </si>
  <si>
    <t>Carnes y despojos comestibles</t>
  </si>
  <si>
    <t>Media (servicio de salud/eventos)</t>
  </si>
  <si>
    <t>014 - Carnes y despojos comestibles</t>
  </si>
  <si>
    <t>016</t>
  </si>
  <si>
    <t>Aceite de pescado</t>
  </si>
  <si>
    <t>016 - Aceite de pescado</t>
  </si>
  <si>
    <t>017</t>
  </si>
  <si>
    <t>Harina, polvo y pellets de pescado</t>
  </si>
  <si>
    <t>017 - Harina, polvo y pellets de pescado</t>
  </si>
  <si>
    <t>023</t>
  </si>
  <si>
    <t>Leche cruda entera</t>
  </si>
  <si>
    <t>023 - Leche cruda entera</t>
  </si>
  <si>
    <t>031</t>
  </si>
  <si>
    <t>Oro gravado con IGV</t>
  </si>
  <si>
    <t>031 - Oro gravado con IGV</t>
  </si>
  <si>
    <t>032</t>
  </si>
  <si>
    <t>Páprika y otros frutos capsicum</t>
  </si>
  <si>
    <t>032 - Páprika y otros frutos capsicum</t>
  </si>
  <si>
    <t>034</t>
  </si>
  <si>
    <t>Minerales metálicos no auríferos</t>
  </si>
  <si>
    <t>034 - Minerales metálicos no auríferos</t>
  </si>
  <si>
    <t>035</t>
  </si>
  <si>
    <t>Bienes exonerados del IGV (por renuncia)</t>
  </si>
  <si>
    <t>035 - Bienes exonerados del IGV (por renuncia)</t>
  </si>
  <si>
    <t>036</t>
  </si>
  <si>
    <t>Oro y demás minerales metálicos exonerados</t>
  </si>
  <si>
    <t>036 - Oro y demás minerales metálicos exonerados</t>
  </si>
  <si>
    <t>039</t>
  </si>
  <si>
    <t>Minerales no metálicos</t>
  </si>
  <si>
    <t>039 - Minerales no metálicos</t>
  </si>
  <si>
    <t>041</t>
  </si>
  <si>
    <t>Plomo</t>
  </si>
  <si>
    <t>041 - Plomo</t>
  </si>
  <si>
    <t>Anexo 3</t>
  </si>
  <si>
    <t>012</t>
  </si>
  <si>
    <t>Intermediación laboral y tercerización</t>
  </si>
  <si>
    <t>63 Gastos de servicios prestados por terceros</t>
  </si>
  <si>
    <t>Media-Alta: personal tercerizado (limpieza, seguridad, back office)</t>
  </si>
  <si>
    <t>012 - Intermediación laboral y tercerización</t>
  </si>
  <si>
    <t>019</t>
  </si>
  <si>
    <t>Arrendamiento de bienes muebles e inmuebles</t>
  </si>
  <si>
    <t>Alta: alquiler de oficina/local de alojamiento, vehículos, equipos</t>
  </si>
  <si>
    <t>019 - Arrendamiento de bienes muebles e inmuebles</t>
  </si>
  <si>
    <t>020</t>
  </si>
  <si>
    <t>Mantenimiento y reparación de bienes muebles</t>
  </si>
  <si>
    <t>Media: mantenimiento de vehículos, equipos, mobiliario</t>
  </si>
  <si>
    <t>020 - Mantenimiento y reparación de bienes muebles</t>
  </si>
  <si>
    <t>021</t>
  </si>
  <si>
    <t>Movimiento de carga</t>
  </si>
  <si>
    <t>Media: estiba, desestiba, manipuleo de equipaje/carga (import-export)</t>
  </si>
  <si>
    <t>021 - Movimiento de carga</t>
  </si>
  <si>
    <t>022</t>
  </si>
  <si>
    <t>Otros servicios empresariales (legal, contable, consultoría, publicidad, call center, etc.)</t>
  </si>
  <si>
    <t>Alta: asesoría legal/contable, marketing, agencias de publicidad</t>
  </si>
  <si>
    <t>022 - Otros servicios empresariales (legal, contable, consultoría,</t>
  </si>
  <si>
    <t>024</t>
  </si>
  <si>
    <t>Comisión mercantil</t>
  </si>
  <si>
    <t>Alta: comisiones de operadores turísticos, plataformas de venta</t>
  </si>
  <si>
    <t>024 - Comisión mercantil</t>
  </si>
  <si>
    <t>025</t>
  </si>
  <si>
    <t>Fabricación de bienes por encargo</t>
  </si>
  <si>
    <t>025 - Fabricación de bienes por encargo</t>
  </si>
  <si>
    <t>026</t>
  </si>
  <si>
    <t>Transporte de personas (vía terrestre, excluye taxi/urbano regular)</t>
  </si>
  <si>
    <t>Alta: buses/vans turísticas subcontratadas</t>
  </si>
  <si>
    <t>026 - Transporte de personas (vía terrestre, excluye taxi/urbano r</t>
  </si>
  <si>
    <t>Anexo 3 (D.S./R.S. 073-2006)</t>
  </si>
  <si>
    <t>027</t>
  </si>
  <si>
    <t>Transporte de bienes por vía terrestre (carga)</t>
  </si>
  <si>
    <t>S/ 400</t>
  </si>
  <si>
    <t>Alta: logística de importación/exportación</t>
  </si>
  <si>
    <t>027 - Transporte de bienes por vía terrestre (carga)</t>
  </si>
  <si>
    <t>030</t>
  </si>
  <si>
    <t>Contratos de construcción</t>
  </si>
  <si>
    <t>33/63 según capitalice o no</t>
  </si>
  <si>
    <t>Media: remodelación de locales/oficinas o del establecimiento de hospedaje</t>
  </si>
  <si>
    <t>030 - Contratos de construcción</t>
  </si>
  <si>
    <t>037</t>
  </si>
  <si>
    <t>Demás servicios gravados con el IGV (numeral residual)</t>
  </si>
  <si>
    <t>Alta: catch-all para servicios no clasificados en otro numeral (coordinación de tours, guiado, servicios operativos varios)</t>
  </si>
  <si>
    <t>037 - Demás servicios gravados con el IGV (numeral residual)</t>
  </si>
  <si>
    <t>No sujeto</t>
  </si>
  <si>
    <t>—</t>
  </si>
  <si>
    <t>Bien/servicio no listado en Anexos, o monto ≤ mínimo, o exonerado/inafecto de IGV</t>
  </si>
  <si>
    <t>60/63/65 según naturaleza</t>
  </si>
  <si>
    <t>Confirmar en cada caso: boletas de venta a consumidor final, servicios de salud exonerados (Apéndice II), compras a NRUS, etc.</t>
  </si>
  <si>
    <t>— - Bien/servicio no listado en Anexos, o monto ≤ mínimo, o exon</t>
  </si>
  <si>
    <t>Checklist Diario — Facturas de Proveedores y Detracción</t>
  </si>
  <si>
    <t>Selecciona la categoría (col. F) y la hoja calcula automáticamente el % y el monto a depositar</t>
  </si>
  <si>
    <t>Fecha
Factura</t>
  </si>
  <si>
    <t>Proveedor</t>
  </si>
  <si>
    <t>RUC
Proveedor</t>
  </si>
  <si>
    <t>N° Comprobante</t>
  </si>
  <si>
    <t>Descripción del bien/servicio</t>
  </si>
  <si>
    <t>Categoría (elegir de la lista)</t>
  </si>
  <si>
    <t>Base imponible
S/ (sin IGV)</t>
  </si>
  <si>
    <t>IGV 18%
S/</t>
  </si>
  <si>
    <t>Total factura
S/</t>
  </si>
  <si>
    <t>% Detracción
(auto)</t>
  </si>
  <si>
    <t>Monto Detracción
S/ (auto)</t>
  </si>
  <si>
    <t>Fecha límite
depósito</t>
  </si>
  <si>
    <t>Cuenta PCGE
gasto (auto)</t>
  </si>
  <si>
    <t>Estado
depósito</t>
  </si>
  <si>
    <t>N° Constancia
SUNAT</t>
  </si>
  <si>
    <t>Observaciones</t>
  </si>
  <si>
    <t>2026-08-03</t>
  </si>
  <si>
    <t>Consultores Legales Asociados SAC</t>
  </si>
  <si>
    <t>20501234567</t>
  </si>
  <si>
    <t>F001-2201</t>
  </si>
  <si>
    <t>Asesoría legal por contrato de arrendamiento de local</t>
  </si>
  <si>
    <t>Realizado</t>
  </si>
  <si>
    <t>1662-000123456</t>
  </si>
  <si>
    <t>Ejemplo ilustrativo</t>
  </si>
  <si>
    <t>2026-08-05</t>
  </si>
  <si>
    <t>Transportes del Sur EIRL</t>
  </si>
  <si>
    <t>20601122334</t>
  </si>
  <si>
    <t>F002-0087</t>
  </si>
  <si>
    <t>Traslado terrestre de equipaje y mercadería (import.)</t>
  </si>
  <si>
    <t>Pendiente</t>
  </si>
  <si>
    <t>2026-08-06</t>
  </si>
  <si>
    <t>Inmobiliaria Barranco SAC</t>
  </si>
  <si>
    <t>20512345678</t>
  </si>
  <si>
    <t>F010-0456</t>
  </si>
  <si>
    <t>Alquiler mensual de oficina administrativa</t>
  </si>
  <si>
    <t>TOTALES</t>
  </si>
  <si>
    <t>Nota: la 'Fecha límite depósito' se calcula según la fecha de pago al proveedor (hasta ese día) o el 5.° día hábil del mes siguiente a la anotación en el Registro de Compras, lo que ocurra primero — regístrala manualmente en col. L según tu calendario de pagos.</t>
  </si>
  <si>
    <t>Plan Contable General Empresarial (PCGE) — Cuentas Clave</t>
  </si>
  <si>
    <t>Selección de cuentas relevantes para compras, IGV, detracciones y gastos de Braidy Wonders SAC</t>
  </si>
  <si>
    <t>Cuenta</t>
  </si>
  <si>
    <t>Denominación</t>
  </si>
  <si>
    <t>Uso en Braidy Wonders</t>
  </si>
  <si>
    <t>Naturaleza</t>
  </si>
  <si>
    <t>10</t>
  </si>
  <si>
    <t>Efectivo y equivalentes de efectivo</t>
  </si>
  <si>
    <t>Grupo de caja y bancos</t>
  </si>
  <si>
    <t>Activo</t>
  </si>
  <si>
    <t>104</t>
  </si>
  <si>
    <t>Cuentas corrientes en instituciones financieras</t>
  </si>
  <si>
    <t>Cuentas bancarias operativas de la empresa</t>
  </si>
  <si>
    <t>1041</t>
  </si>
  <si>
    <t>Cuenta corriente operativa (banco principal)</t>
  </si>
  <si>
    <t>Pagos a proveedores, cobranzas de clientes</t>
  </si>
  <si>
    <t>1049*</t>
  </si>
  <si>
    <t>Cuenta de detracciones - Banco de la Nación (propia)</t>
  </si>
  <si>
    <t>Solo si Braidy Wonders EMITE comprobantes por servicios sujetos a detracción (ej. transporte de personas, comisiones); fondos de uso restringido recibidos de sus propios clientes</t>
  </si>
  <si>
    <t>12</t>
  </si>
  <si>
    <t>Cuentas por cobrar comerciales - Terceros</t>
  </si>
  <si>
    <t>Facturas emitidas a clientes (paquetes turísticos, servicios)</t>
  </si>
  <si>
    <t>121</t>
  </si>
  <si>
    <t>Facturas, boletas y otros comprobantes por cobrar</t>
  </si>
  <si>
    <t>Ventas al crédito a clientes</t>
  </si>
  <si>
    <t>20/21/23/24</t>
  </si>
  <si>
    <t>Mercaderías / Productos terminados / Productos en proceso / Materias primas</t>
  </si>
  <si>
    <t>Solo aplica si Braidy Wonders compra/vende bienes tangibles (ej. insumos de salud, souvenirs)</t>
  </si>
  <si>
    <t>40</t>
  </si>
  <si>
    <t>Tributos, contraprestaciones y aportes al sistema de pensiones y de salud por pagar</t>
  </si>
  <si>
    <t>Grupo de tributos por pagar/crédito fiscal</t>
  </si>
  <si>
    <t>Pasivo / Activo</t>
  </si>
  <si>
    <t>4011</t>
  </si>
  <si>
    <t>IGV - Cuenta propia</t>
  </si>
  <si>
    <t>Crédito fiscal de compras (débito) y débito fiscal de ventas (crédito)</t>
  </si>
  <si>
    <t>Activo/Pasivo según saldo</t>
  </si>
  <si>
    <t>4017</t>
  </si>
  <si>
    <t>Impuesto a la Renta de 3ra categoría (pagos a cuenta)</t>
  </si>
  <si>
    <t>Pagos a cuenta mensuales del Régimen MYPE Tributario</t>
  </si>
  <si>
    <t>Pasivo</t>
  </si>
  <si>
    <t>403</t>
  </si>
  <si>
    <t>Instituciones públicas (ESSALUD, ONP)</t>
  </si>
  <si>
    <t>Aportes de planilla del personal en relación de dependencia</t>
  </si>
  <si>
    <t>407</t>
  </si>
  <si>
    <t>Administradoras de fondos de pensiones (AFP)</t>
  </si>
  <si>
    <t>Retenciones de planilla a trabajadores afiliados a AFP</t>
  </si>
  <si>
    <t>42</t>
  </si>
  <si>
    <t>Cuentas por pagar comerciales - Terceros</t>
  </si>
  <si>
    <t>Grupo de facturas por pagar a proveedores</t>
  </si>
  <si>
    <t>421</t>
  </si>
  <si>
    <t>Facturas, boletas y otros comprobantes por pagar</t>
  </si>
  <si>
    <t>Registro de la deuda total (incluye IGV) con cada proveedor</t>
  </si>
  <si>
    <t>46</t>
  </si>
  <si>
    <t>Cuentas por pagar diversas - Terceros</t>
  </si>
  <si>
    <t>Otras obligaciones (préstamos, remuneraciones por pagar, etc.)</t>
  </si>
  <si>
    <t>60</t>
  </si>
  <si>
    <t>Compras</t>
  </si>
  <si>
    <t>Compra de bienes (mercadería, suministros) cuando corresponde</t>
  </si>
  <si>
    <t>Gasto/Costo</t>
  </si>
  <si>
    <t>63</t>
  </si>
  <si>
    <t>Gastos de servicios prestados por terceros</t>
  </si>
  <si>
    <t>La MAYORÍA de servicios de proveedores sujetos a detracción (arrendamiento, mantenimiento, otros servicios empresariales, transporte, comisiones)</t>
  </si>
  <si>
    <t>Gasto</t>
  </si>
  <si>
    <t>631</t>
  </si>
  <si>
    <t>Transporte, correos y gastos de viaje</t>
  </si>
  <si>
    <t>Transporte de personas y de carga contratado a terceros</t>
  </si>
  <si>
    <t>632</t>
  </si>
  <si>
    <t>Asesoría y consultoría</t>
  </si>
  <si>
    <t>Servicios legales, contables, tributarios, consultoría en general (numeral 022)</t>
  </si>
  <si>
    <t>634</t>
  </si>
  <si>
    <t>Mantenimiento y reparaciones</t>
  </si>
  <si>
    <t>Mantenimiento de vehículos, equipos, mobiliario (numeral 020)</t>
  </si>
  <si>
    <t>635</t>
  </si>
  <si>
    <t>Alquileres</t>
  </si>
  <si>
    <t>Arrendamiento de oficina, local de hospedaje, vehículos, equipos (numeral 019)</t>
  </si>
  <si>
    <t>637</t>
  </si>
  <si>
    <t>Publicidad, publicaciones, relaciones públicas</t>
  </si>
  <si>
    <t>Marketing y publicidad (dentro de 'otros servicios empresariales')</t>
  </si>
  <si>
    <t>639</t>
  </si>
  <si>
    <t>Otros servicios prestados por terceros</t>
  </si>
  <si>
    <t>Comisiones mercantiles, movimiento de carga, servicios residuales (numeral 037)</t>
  </si>
  <si>
    <t>65</t>
  </si>
  <si>
    <t>Otros gastos de gestión</t>
  </si>
  <si>
    <t>Gastos diversos de gestión no clasificados en 63</t>
  </si>
  <si>
    <t>66</t>
  </si>
  <si>
    <t>Pérdida por medición de activos no financieros al valor razonable</t>
  </si>
  <si>
    <t>Uso poco frecuente</t>
  </si>
  <si>
    <t>94/95/79</t>
  </si>
  <si>
    <t>Cuentas analíticas de gastos por función (si se usa contabilidad de costos)</t>
  </si>
  <si>
    <t>Distribución de gastos entre administrativos y de venta/operación (opcional, según política contable de la empresa)</t>
  </si>
  <si>
    <t>Analítica</t>
  </si>
  <si>
    <t>* Cuenta aplicable solo si Braidy Wonders es el PROVEEDOR de un servicio sujeto a detracción (lado ventas).</t>
  </si>
  <si>
    <t>Asientos Contables Tipo — Compras con y sin Detracción</t>
  </si>
  <si>
    <t>Ejemplos numéricos bajo el método del PCGE (partida doble)</t>
  </si>
  <si>
    <t>CASO 1 — Servicio 'Otros servicios empresariales' (código 022, 12%) con detracción</t>
  </si>
  <si>
    <t>Ejemplo: Consultores Legales Asociados SAC factura S/ 1,000.00 + IGV 18% (S/ 180.00) = Total S/ 1,180.00. Detracción 12% sobre el total = S/ 141.60. Pago del neto al proveedor + depósito de la detracción en su cuenta del Banco de la Nación.</t>
  </si>
  <si>
    <t>Debe (S/)</t>
  </si>
  <si>
    <t>Haber (S/)</t>
  </si>
  <si>
    <t>Por la factura recibida:</t>
  </si>
  <si>
    <t>IGV - Cuenta propia (crédito fiscal)</t>
  </si>
  <si>
    <t>Facturas por pagar - Proveedor</t>
  </si>
  <si>
    <t>Por el pago (neto + detracción):</t>
  </si>
  <si>
    <t>Cuenta corriente - pago neto al proveedor</t>
  </si>
  <si>
    <t>Cuenta corriente - depósito detracción (cta. Bco. Nación del proveedor)</t>
  </si>
  <si>
    <t>CASO 2 — Arrendamiento de local (código 019, 10%) con detracción</t>
  </si>
  <si>
    <t>Ejemplo: Inmobiliaria Barranco SAC factura alquiler mensual S/ 3,500.00 + IGV 18% (S/ 630.00) = Total S/ 4,130.00. Detracción 10% sobre el total = S/ 413.00.</t>
  </si>
  <si>
    <t>CASO 3 — Compra de suministros de oficina (NO sujeta a detracción)</t>
  </si>
  <si>
    <t>Ejemplo: Papelería y útiles S/ 300.00 + IGV 18% (S/ 54.00) = Total S/ 354.00. Monto menor al mínimo (S/ 700) y no está en ningún Anexo → no se detrae, se paga el 100% directamente al proveedor.</t>
  </si>
  <si>
    <t>Otros gastos de gestión (útiles de oficina)</t>
  </si>
  <si>
    <t>Por el pago total:</t>
  </si>
  <si>
    <t>Cuenta corriente - pago al proveedor</t>
  </si>
  <si>
    <t>CASO 4 (referencia a futuro) — Braidy Wonders EMITE un servicio sujeto a detracción</t>
  </si>
  <si>
    <t>Si Braidy Wonders factura, por ejemplo, transporte de personas (código 026, 10%) a un cliente que es agente retenedor de detracción, RECIBE el neto en su cuenta operativa y el 10% restante lo recibe en SU PROPIA cuenta de detracciones del Banco de la Nación (cuenta 1049), la cual solo puede usar para pagar sus propios tributos. Ejemplo: servicio de S/ 2,000.00 + IGV 18% (S/ 360.00) = Total S/ 2,360.00; detracción 10% = S/ 236.00.</t>
  </si>
  <si>
    <t>Por la factura emitida:</t>
  </si>
  <si>
    <t>Facturas por cobrar - Cliente</t>
  </si>
  <si>
    <t>70</t>
  </si>
  <si>
    <t>Ventas (ingreso por servicios)</t>
  </si>
  <si>
    <t>IGV - Cuenta propia (débito fiscal)</t>
  </si>
  <si>
    <t>Por la cobranza (neto + detracción recibida):</t>
  </si>
  <si>
    <t>Cuenta corriente operativa (neto cobrado)</t>
  </si>
  <si>
    <t>1049</t>
  </si>
  <si>
    <t>Contexto Tributario y Contable — Braidy Wonders SAC</t>
  </si>
  <si>
    <t>Régimen MYPE Tributario · IGV · Cronograma · Obligaciones formales</t>
  </si>
  <si>
    <t>Régimen de renta</t>
  </si>
  <si>
    <t>Régimen MYPE Tributario (RMT) desde 01/01/2021. Aplica mientras los ingresos netos anuales no superen 1,700 UIT (S/ 9,350,000 con UIT 2026 = S/ 5,500). Tasa: 10% sobre las primeras 15 UIT (S/ 82,500) de renta neta anual y 29.5% sobre el exceso.</t>
  </si>
  <si>
    <t>Pagos a cuenta mensuales</t>
  </si>
  <si>
    <t>1% de los ingresos netos mensuales si los ingresos netos anuales no superan 300 UIT (S/ 1,650,000); si los superan, se aplica el coeficiente (ingresos del ejercicio anterior) o 1.5%, el que resulte mayor.</t>
  </si>
  <si>
    <t>IGV</t>
  </si>
  <si>
    <t>Tasa general 18% (16% IGV + 2% IPM), aplicable a la venta de servicios de agencia de viajes, alojamiento y, en general, a las operaciones gravadas de la empresa. Verificar caso por caso si algún servicio de salud calza en alguna exoneración del Apéndice II de la Ley del IGV.</t>
  </si>
  <si>
    <t>Comprobantes electrónicos</t>
  </si>
  <si>
    <t>Emisor electrónico desde 01/07/2020 (boleta) y 20/08/2020 (factura). Debe emitir comprobantes electrónicos vía SEE - SUNAT Operaciones en Línea o SEE - Sistema del Contribuyente, según corresponda, y llevar los Registros de Compras y Ventas de forma electrónica (PLE / SIRE).</t>
  </si>
  <si>
    <t>Retenciones de renta de 4ta y 5ta categoría</t>
  </si>
  <si>
    <t>Afecta desde 01/03/2021 (4ta) y 01/09/2020 (5ta): la empresa debe retener el Impuesto a la Renta a profesionales independientes (recibos por honorarios &gt; S/ 1,500 aprox., según UIT vigente) y a sus trabajadores en planilla, y declararlas/pagarlas en el PDT PLAME.</t>
  </si>
  <si>
    <t>ESSALUD</t>
  </si>
  <si>
    <t>Aporte del 9% sobre la remuneración de los trabajadores en planilla (Seguro Regular), declarado y pagado junto con la PLAME.</t>
  </si>
  <si>
    <t>ITAN</t>
  </si>
  <si>
    <t>Impuesto Temporal a los Activos Netos, afecto desde 01/03/2026: aplica sobre activos netos que superen S/ 1,000,000, con tasas de 0% (hasta S/1MM) y 0.4% (exceso), pagadero en 9 cuotas o al contado; se puede usar como crédito contra los pagos a cuenta/regularización de renta.</t>
  </si>
  <si>
    <t>Cronograma de vencimientos 2026</t>
  </si>
  <si>
    <t>Se determina según el último dígito del RUC (7 para Braidy Wonders). Las declaraciones mensuales (PDT 621 IGV-Renta) vencen entre el día 18 y 24 del mes siguiente (fechas exactas publicadas por SUNAT cada año; consultar el cronograma oficial vigente antes de cada vencimiento, ya que puede variar).</t>
  </si>
  <si>
    <t>Libros y registros electrónicos</t>
  </si>
  <si>
    <t>Al ser un régimen con sistema de contabilidad manual/computarizado y emisor electrónico, corresponde evaluar la obligación de llevar el Registro de Ventas e Ingresos y Registro de Compras a través del SIRE (Sistema Integrado de Registros Electrónicos), según el cronograma de incorporación de SUNAT.</t>
  </si>
  <si>
    <t>Comercio exterior (Importador/Exportador)</t>
  </si>
  <si>
    <t>Las importaciones de bienes están afectas al IGV en aduanas (además de derechos arancelarios); ese IGV pagado en aduanas también constituye crédito fiscal. Las exportaciones de servicios (si califican como tales bajo el Apéndice V de la Ley del IGV) están exoneradas/con derecho a saldo a favor del exportador — evaluar si algún servicio turístico prestado a no domiciliados califica.</t>
  </si>
  <si>
    <t>Actividades secundarias (salud y alojamiento)</t>
  </si>
  <si>
    <t>Si la empresa además presta servicios de salud humana (8690) o de alojamiento de estancias cortas (5510) de forma efectiva, revisar: (i) posibles exoneraciones de IGV para servicios de salud (Apéndice II), y (ii) el Impuesto de Promoción Municipal / arbitrios aplicables a establecimientos de hospedaje, que son distintos del sistema de detracciones.</t>
  </si>
  <si>
    <t>Representantes y accionistas (RUC)</t>
  </si>
  <si>
    <t>Gerente General: Elsa Leonor Peirano Ascurra (desde 16/08/2021). Apoderada: Verónica Elsa Napuri Peirano. Socios: Alister Stuart Wicks Napuri y Oliver Stuart Wicks Napuri (50% cada uno) — relevante para retenciones de dividendos (5% Impuesto a la Renta) cuando se acuerde distribución de utilidades.</t>
  </si>
  <si>
    <t>Próximos pasos sugeridos (fases 3 y 4 del proyecto): 1) usar la 'Checklist Diario Facturas' durante unas semanas para consolidar el universo real de proveedores y categorías de detracción de Braidy Wonders; 2) con ese historial, construir el detalle de asientos contables por tipo de operación (compras, ventas, planilla, activos fijos); 3) proyectar el Estado de Situación Financiera, Estado de Resultados y Flujo de Caja a partir de esos asientos y de los cronogramas de pago/cobro.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</si>
</sst>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yyyy\-mm\-dd"/>
  </numFmts>
  <fonts count="12" x14ac:knownFonts="1">
    <font>
      <sz val="11"/>
      <color theme="1"/>
      <name val="Calibri"/>
      <family val="2"/>
      <scheme val="minor"/>
    </font>
    <font>
      <b/>
      <sz val="16"/>
      <color rgb="FFFFFFFF"/>
      <name val="Calibri"/>
    </font>
    <font>
      <i/>
      <sz val="11"/>
      <color rgb="FFFFFFFF"/>
      <name val="Calibri"/>
    </font>
    <font>
      <b/>
      <sz val="10"/>
      <color rgb="FFFFFFFF"/>
      <name val="Calibri"/>
    </font>
    <font>
      <b/>
      <sz val="10"/>
      <color rgb="FF1F3864"/>
      <name val="Calibri"/>
    </font>
    <font>
      <sz val="10"/>
      <color rgb="FF000000"/>
      <name val="Calibri"/>
    </font>
    <font>
      <i/>
      <sz val="9"/>
      <color rgb="FF595959"/>
      <name val="Calibri"/>
    </font>
    <font>
      <b/>
      <sz val="11"/>
      <color rgb="FFFFFFFF"/>
      <name val="Calibri"/>
    </font>
    <font>
      <b/>
      <sz val="11"/>
      <color rgb="FFC00000"/>
      <name val="Calibri"/>
    </font>
    <font>
      <b/>
      <sz val="11"/>
      <color rgb="FF375623"/>
      <name val="Calibri"/>
    </font>
    <font>
      <b/>
      <sz val="11"/>
      <color rgb="FF1F3864"/>
      <name val="Calibri"/>
    </font>
    <font>
      <b/>
      <sz val="12"/>
      <color rgb="FFFFFFFF"/>
      <name val="Calibri"/>
    </font>
  </fonts>
  <fills count="7">
    <fill>
      <patternFill patternType="none"/>
    </fill>
    <fill>
      <patternFill patternType="gray125"/>
    </fill>
    <fill>
      <patternFill patternType="solid">
        <fgColor rgb="FF1F3864"/>
      </patternFill>
    </fill>
    <fill>
      <patternFill patternType="solid">
        <fgColor rgb="FF2E5395"/>
      </patternFill>
    </fill>
    <fill>
      <patternFill patternType="solid">
        <fgColor rgb="FFF2F2F2"/>
      </patternFill>
    </fill>
    <fill>
      <patternFill patternType="solid">
        <fgColor rgb="FFD9E2F3"/>
      </patternFill>
    </fill>
    <fill>
      <patternFill patternType="solid">
        <fgColor rgb="FFFCE4B4"/>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style="double">
        <color auto="1"/>
      </top>
      <bottom/>
      <diagonal/>
    </border>
  </borders>
  <cellStyleXfs count="1">
    <xf numFmtId="0" fontId="0" fillId="0" borderId="0"/>
  </cellStyleXfs>
  <cellXfs count="34">
    <xf numFmtId="0" fontId="0" fillId="0" borderId="0" xfId="0"/>
    <xf numFmtId="0" fontId="4" fillId="4" borderId="1" xfId="0" applyFont="1" applyFill="1" applyBorder="1"/>
    <xf numFmtId="0" fontId="5" fillId="0" borderId="1" xfId="0" applyFont="1" applyBorder="1" applyAlignment="1">
      <alignment vertical="top" wrapText="1"/>
    </xf>
    <xf numFmtId="0" fontId="5" fillId="0" borderId="0" xfId="0" applyFont="1"/>
    <xf numFmtId="0" fontId="4" fillId="0" borderId="0" xfId="0" applyFont="1"/>
    <xf numFmtId="0" fontId="4" fillId="5" borderId="1" xfId="0" applyFont="1" applyFill="1" applyBorder="1" applyAlignment="1">
      <alignment vertical="top" wrapText="1"/>
    </xf>
    <xf numFmtId="0" fontId="7" fillId="2" borderId="1" xfId="0" applyFont="1" applyFill="1" applyBorder="1" applyAlignment="1">
      <alignment vertical="center" wrapText="1"/>
    </xf>
    <xf numFmtId="0" fontId="5" fillId="0" borderId="1" xfId="0" applyFont="1" applyBorder="1" applyAlignment="1">
      <alignment horizontal="center" vertical="center"/>
    </xf>
    <xf numFmtId="164" fontId="8" fillId="0" borderId="1" xfId="0" applyNumberFormat="1" applyFont="1" applyBorder="1" applyAlignment="1">
      <alignment horizontal="center" vertical="center"/>
    </xf>
    <xf numFmtId="0" fontId="6" fillId="0" borderId="1" xfId="0" applyFont="1" applyBorder="1"/>
    <xf numFmtId="3" fontId="6" fillId="0" borderId="1" xfId="0" applyNumberFormat="1" applyFont="1" applyBorder="1"/>
    <xf numFmtId="164" fontId="9" fillId="0" borderId="1" xfId="0" applyNumberFormat="1" applyFont="1" applyBorder="1" applyAlignment="1">
      <alignment horizontal="center" vertical="center"/>
    </xf>
    <xf numFmtId="165" fontId="5" fillId="0" borderId="1" xfId="0" applyNumberFormat="1" applyFont="1" applyBorder="1"/>
    <xf numFmtId="0" fontId="5" fillId="0" borderId="1" xfId="0" applyFont="1" applyBorder="1"/>
    <xf numFmtId="4" fontId="5" fillId="0" borderId="1" xfId="0" applyNumberFormat="1" applyFont="1" applyBorder="1"/>
    <xf numFmtId="164" fontId="5" fillId="0" borderId="1" xfId="0" applyNumberFormat="1" applyFont="1" applyBorder="1" applyAlignment="1">
      <alignment horizontal="center" vertical="center"/>
    </xf>
    <xf numFmtId="0" fontId="10" fillId="0" borderId="2" xfId="0" applyFont="1" applyBorder="1"/>
    <xf numFmtId="4" fontId="10" fillId="0" borderId="2" xfId="0" applyNumberFormat="1" applyFont="1" applyBorder="1"/>
    <xf numFmtId="0" fontId="4" fillId="0" borderId="1" xfId="0" applyFont="1" applyBorder="1" applyAlignment="1">
      <alignment horizontal="center" vertical="center"/>
    </xf>
    <xf numFmtId="0" fontId="3" fillId="3" borderId="1" xfId="0" applyFont="1" applyFill="1" applyBorder="1" applyAlignment="1">
      <alignment vertical="center" wrapText="1"/>
    </xf>
    <xf numFmtId="4" fontId="0" fillId="0" borderId="1" xfId="0" applyNumberFormat="1" applyBorder="1"/>
    <xf numFmtId="0" fontId="5" fillId="0" borderId="1" xfId="0" applyFont="1" applyBorder="1" applyAlignment="1">
      <alignment indent="1"/>
    </xf>
    <xf numFmtId="0" fontId="4" fillId="6" borderId="1" xfId="0" applyFont="1" applyFill="1" applyBorder="1" applyAlignment="1">
      <alignment vertical="top" wrapText="1"/>
    </xf>
    <xf numFmtId="0" fontId="3" fillId="3" borderId="0" xfId="0" applyFont="1" applyFill="1"/>
    <xf numFmtId="0" fontId="0" fillId="3" borderId="0" xfId="0" applyFill="1"/>
    <xf numFmtId="0" fontId="5" fillId="0" borderId="0" xfId="0" applyFont="1" applyAlignment="1">
      <alignment vertical="top" wrapText="1"/>
    </xf>
    <xf numFmtId="0" fontId="0" fillId="0" borderId="0" xfId="0"/>
    <xf numFmtId="0" fontId="5" fillId="0" borderId="0" xfId="0" applyFont="1"/>
    <xf numFmtId="0" fontId="2" fillId="2" borderId="0" xfId="0" applyFont="1" applyFill="1" applyAlignment="1">
      <alignment horizontal="left" vertical="center" indent="1"/>
    </xf>
    <xf numFmtId="0" fontId="0" fillId="2" borderId="0" xfId="0" applyFill="1"/>
    <xf numFmtId="0" fontId="1" fillId="2" borderId="0" xfId="0" applyFont="1" applyFill="1" applyAlignment="1">
      <alignment horizontal="left" vertical="center" indent="1"/>
    </xf>
    <xf numFmtId="0" fontId="6" fillId="0" borderId="0" xfId="0" applyFont="1" applyAlignment="1">
      <alignment vertical="top" wrapText="1"/>
    </xf>
    <xf numFmtId="0" fontId="6" fillId="0" borderId="0" xfId="0" applyFont="1"/>
    <xf numFmtId="0" fontId="11" fillId="3" borderId="0" xfId="0" applyFont="1" applyFill="1" applyAlignment="1">
      <alignment vertical="center" indent="1"/>
    </xf>
  </cellXfs>
  <cellStyles count="1">
    <cellStyle name="Normal" xfId="0" builtinId="0"/>
  </cellStyles>
  <dxfs count="3">
    <dxf>
      <fill>
        <patternFill patternType="solid">
          <fgColor rgb="FFE2EFDA"/>
        </patternFill>
      </fill>
    </dxf>
    <dxf>
      <fill>
        <patternFill patternType="solid">
          <fgColor rgb="FFFCE4E4"/>
        </patternFill>
      </fill>
    </dxf>
    <dxf>
      <fill>
        <patternFill patternType="solid">
          <fgColor rgb="FFFCE4E4"/>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6"/>
  <sheetViews>
    <sheetView showGridLines="0" tabSelected="1" workbookViewId="0">
      <pane ySplit="4" topLeftCell="A5" activePane="bottomLeft" state="frozen"/>
      <selection pane="bottomLeft" sqref="A1:E1"/>
    </sheetView>
  </sheetViews>
  <sheetFormatPr baseColWidth="10" defaultColWidth="9.140625" defaultRowHeight="15" x14ac:dyDescent="0.25"/>
  <cols>
    <col min="1" max="1" width="30" customWidth="1"/>
    <col min="2" max="2" width="55" customWidth="1"/>
    <col min="3" max="3" width="4" customWidth="1"/>
    <col min="4" max="4" width="30" customWidth="1"/>
    <col min="5" max="5" width="40" customWidth="1"/>
  </cols>
  <sheetData>
    <row r="1" spans="1:5" ht="26.1" customHeight="1" x14ac:dyDescent="0.25">
      <c r="A1" s="30" t="s">
        <v>0</v>
      </c>
      <c r="B1" s="29"/>
      <c r="C1" s="29"/>
      <c r="D1" s="29"/>
      <c r="E1" s="29"/>
    </row>
    <row r="2" spans="1:5" ht="18" customHeight="1" x14ac:dyDescent="0.25">
      <c r="A2" s="28" t="s">
        <v>1</v>
      </c>
      <c r="B2" s="29"/>
      <c r="C2" s="29"/>
      <c r="D2" s="29"/>
      <c r="E2" s="29"/>
    </row>
    <row r="4" spans="1:5" x14ac:dyDescent="0.25">
      <c r="A4" s="23" t="s">
        <v>2</v>
      </c>
      <c r="B4" s="24"/>
    </row>
    <row r="5" spans="1:5" x14ac:dyDescent="0.25">
      <c r="A5" s="1" t="s">
        <v>3</v>
      </c>
      <c r="B5" s="2" t="s">
        <v>4</v>
      </c>
    </row>
    <row r="6" spans="1:5" x14ac:dyDescent="0.25">
      <c r="A6" s="1" t="s">
        <v>5</v>
      </c>
      <c r="B6" s="2" t="s">
        <v>6</v>
      </c>
    </row>
    <row r="7" spans="1:5" x14ac:dyDescent="0.25">
      <c r="A7" s="1" t="s">
        <v>7</v>
      </c>
      <c r="B7" s="2" t="s">
        <v>8</v>
      </c>
    </row>
    <row r="8" spans="1:5" x14ac:dyDescent="0.25">
      <c r="A8" s="1" t="s">
        <v>9</v>
      </c>
      <c r="B8" s="2" t="s">
        <v>10</v>
      </c>
    </row>
    <row r="9" spans="1:5" x14ac:dyDescent="0.25">
      <c r="A9" s="1" t="s">
        <v>11</v>
      </c>
      <c r="B9" s="2" t="s">
        <v>12</v>
      </c>
    </row>
    <row r="10" spans="1:5" x14ac:dyDescent="0.25">
      <c r="A10" s="1" t="s">
        <v>13</v>
      </c>
      <c r="B10" s="2" t="s">
        <v>14</v>
      </c>
    </row>
    <row r="11" spans="1:5" x14ac:dyDescent="0.25">
      <c r="A11" s="1" t="s">
        <v>15</v>
      </c>
      <c r="B11" s="2" t="s">
        <v>16</v>
      </c>
    </row>
    <row r="12" spans="1:5" x14ac:dyDescent="0.25">
      <c r="A12" s="1" t="s">
        <v>17</v>
      </c>
      <c r="B12" s="2" t="s">
        <v>18</v>
      </c>
    </row>
    <row r="13" spans="1:5" x14ac:dyDescent="0.25">
      <c r="A13" s="1" t="s">
        <v>19</v>
      </c>
      <c r="B13" s="2" t="s">
        <v>20</v>
      </c>
    </row>
    <row r="14" spans="1:5" x14ac:dyDescent="0.25">
      <c r="A14" s="1" t="s">
        <v>21</v>
      </c>
      <c r="B14" s="2" t="s">
        <v>22</v>
      </c>
    </row>
    <row r="15" spans="1:5" x14ac:dyDescent="0.25">
      <c r="A15" s="1" t="s">
        <v>23</v>
      </c>
      <c r="B15" s="2" t="s">
        <v>24</v>
      </c>
    </row>
    <row r="16" spans="1:5" x14ac:dyDescent="0.25">
      <c r="A16" s="1" t="s">
        <v>25</v>
      </c>
      <c r="B16" s="2" t="s">
        <v>26</v>
      </c>
    </row>
    <row r="17" spans="1:5" ht="25.5" x14ac:dyDescent="0.25">
      <c r="A17" s="1" t="s">
        <v>27</v>
      </c>
      <c r="B17" s="2" t="s">
        <v>28</v>
      </c>
    </row>
    <row r="18" spans="1:5" x14ac:dyDescent="0.25">
      <c r="A18" s="1" t="s">
        <v>29</v>
      </c>
      <c r="B18" s="2" t="s">
        <v>30</v>
      </c>
    </row>
    <row r="20" spans="1:5" x14ac:dyDescent="0.25">
      <c r="A20" s="23" t="s">
        <v>31</v>
      </c>
      <c r="B20" s="24"/>
    </row>
    <row r="21" spans="1:5" x14ac:dyDescent="0.25">
      <c r="A21" s="3" t="s">
        <v>32</v>
      </c>
      <c r="B21" s="27" t="s">
        <v>33</v>
      </c>
      <c r="C21" s="26"/>
      <c r="D21" s="26"/>
      <c r="E21" s="26"/>
    </row>
    <row r="22" spans="1:5" x14ac:dyDescent="0.25">
      <c r="A22" s="3" t="s">
        <v>32</v>
      </c>
      <c r="B22" s="27" t="s">
        <v>34</v>
      </c>
      <c r="C22" s="26"/>
      <c r="D22" s="26"/>
      <c r="E22" s="26"/>
    </row>
    <row r="23" spans="1:5" x14ac:dyDescent="0.25">
      <c r="A23" s="3" t="s">
        <v>32</v>
      </c>
      <c r="B23" s="27" t="s">
        <v>35</v>
      </c>
      <c r="C23" s="26"/>
      <c r="D23" s="26"/>
      <c r="E23" s="26"/>
    </row>
    <row r="24" spans="1:5" x14ac:dyDescent="0.25">
      <c r="A24" s="3" t="s">
        <v>32</v>
      </c>
      <c r="B24" s="27" t="s">
        <v>36</v>
      </c>
      <c r="C24" s="26"/>
      <c r="D24" s="26"/>
      <c r="E24" s="26"/>
    </row>
    <row r="25" spans="1:5" x14ac:dyDescent="0.25">
      <c r="A25" s="3" t="s">
        <v>32</v>
      </c>
      <c r="B25" s="27" t="s">
        <v>37</v>
      </c>
      <c r="C25" s="26"/>
      <c r="D25" s="26"/>
      <c r="E25" s="26"/>
    </row>
    <row r="26" spans="1:5" x14ac:dyDescent="0.25">
      <c r="A26" s="3" t="s">
        <v>32</v>
      </c>
      <c r="B26" s="27" t="s">
        <v>38</v>
      </c>
      <c r="C26" s="26"/>
      <c r="D26" s="26"/>
      <c r="E26" s="26"/>
    </row>
    <row r="28" spans="1:5" x14ac:dyDescent="0.25">
      <c r="A28" s="23" t="s">
        <v>39</v>
      </c>
      <c r="B28" s="24"/>
      <c r="C28" s="24"/>
      <c r="D28" s="24"/>
      <c r="E28" s="24"/>
    </row>
    <row r="29" spans="1:5" ht="30" customHeight="1" x14ac:dyDescent="0.25">
      <c r="A29" s="4" t="s">
        <v>40</v>
      </c>
      <c r="B29" s="25" t="s">
        <v>41</v>
      </c>
      <c r="C29" s="26"/>
      <c r="D29" s="26"/>
      <c r="E29" s="26"/>
    </row>
    <row r="30" spans="1:5" ht="30" customHeight="1" x14ac:dyDescent="0.25">
      <c r="A30" s="4" t="s">
        <v>42</v>
      </c>
      <c r="B30" s="25" t="s">
        <v>43</v>
      </c>
      <c r="C30" s="26"/>
      <c r="D30" s="26"/>
      <c r="E30" s="26"/>
    </row>
    <row r="31" spans="1:5" ht="30" customHeight="1" x14ac:dyDescent="0.25">
      <c r="A31" s="4" t="s">
        <v>44</v>
      </c>
      <c r="B31" s="25" t="s">
        <v>45</v>
      </c>
      <c r="C31" s="26"/>
      <c r="D31" s="26"/>
      <c r="E31" s="26"/>
    </row>
    <row r="32" spans="1:5" ht="30" customHeight="1" x14ac:dyDescent="0.25">
      <c r="A32" s="4" t="s">
        <v>46</v>
      </c>
      <c r="B32" s="25" t="s">
        <v>47</v>
      </c>
      <c r="C32" s="26"/>
      <c r="D32" s="26"/>
      <c r="E32" s="26"/>
    </row>
    <row r="33" spans="1:5" ht="30" customHeight="1" x14ac:dyDescent="0.25">
      <c r="A33" s="4" t="s">
        <v>48</v>
      </c>
      <c r="B33" s="25" t="s">
        <v>49</v>
      </c>
      <c r="C33" s="26"/>
      <c r="D33" s="26"/>
      <c r="E33" s="26"/>
    </row>
    <row r="34" spans="1:5" ht="30" customHeight="1" x14ac:dyDescent="0.25">
      <c r="A34" s="4" t="s">
        <v>50</v>
      </c>
      <c r="B34" s="25" t="s">
        <v>51</v>
      </c>
      <c r="C34" s="26"/>
      <c r="D34" s="26"/>
      <c r="E34" s="26"/>
    </row>
    <row r="36" spans="1:5" ht="45" customHeight="1" x14ac:dyDescent="0.25">
      <c r="A36" s="31" t="s">
        <v>52</v>
      </c>
      <c r="B36" s="26"/>
      <c r="C36" s="26"/>
      <c r="D36" s="26"/>
      <c r="E36" s="26"/>
    </row>
  </sheetData>
  <mergeCells count="18">
    <mergeCell ref="B33:E33"/>
    <mergeCell ref="A1:E1"/>
    <mergeCell ref="B25:E25"/>
    <mergeCell ref="B24:E24"/>
    <mergeCell ref="A36:E36"/>
    <mergeCell ref="B34:E34"/>
    <mergeCell ref="B22:E22"/>
    <mergeCell ref="B32:E32"/>
    <mergeCell ref="A2:E2"/>
    <mergeCell ref="A28:E28"/>
    <mergeCell ref="B21:E21"/>
    <mergeCell ref="B30:E30"/>
    <mergeCell ref="B29:E29"/>
    <mergeCell ref="A4:B4"/>
    <mergeCell ref="B31:E31"/>
    <mergeCell ref="A20:B20"/>
    <mergeCell ref="B23:E23"/>
    <mergeCell ref="B26:E2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showGridLines="0" workbookViewId="0">
      <pane ySplit="3" topLeftCell="A4" activePane="bottomLeft" state="frozen"/>
      <selection pane="bottomLeft" sqref="A1:B1"/>
    </sheetView>
  </sheetViews>
  <sheetFormatPr baseColWidth="10" defaultColWidth="9.140625" defaultRowHeight="15" x14ac:dyDescent="0.25"/>
  <cols>
    <col min="1" max="1" width="34" customWidth="1"/>
    <col min="2" max="2" width="90" customWidth="1"/>
  </cols>
  <sheetData>
    <row r="1" spans="1:2" ht="26.1" customHeight="1" x14ac:dyDescent="0.25">
      <c r="A1" s="30" t="s">
        <v>53</v>
      </c>
      <c r="B1" s="29"/>
    </row>
    <row r="2" spans="1:2" ht="18" customHeight="1" x14ac:dyDescent="0.25">
      <c r="A2" s="28" t="s">
        <v>54</v>
      </c>
      <c r="B2" s="29"/>
    </row>
    <row r="4" spans="1:2" ht="69.95" customHeight="1" x14ac:dyDescent="0.25">
      <c r="A4" s="5" t="s">
        <v>55</v>
      </c>
      <c r="B4" s="2" t="s">
        <v>56</v>
      </c>
    </row>
    <row r="5" spans="1:2" ht="42" customHeight="1" x14ac:dyDescent="0.25">
      <c r="A5" s="5" t="s">
        <v>57</v>
      </c>
      <c r="B5" s="2" t="s">
        <v>58</v>
      </c>
    </row>
    <row r="6" spans="1:2" ht="42" customHeight="1" x14ac:dyDescent="0.25">
      <c r="A6" s="5" t="s">
        <v>59</v>
      </c>
      <c r="B6" s="2" t="s">
        <v>60</v>
      </c>
    </row>
    <row r="7" spans="1:2" ht="84" customHeight="1" x14ac:dyDescent="0.25">
      <c r="A7" s="5" t="s">
        <v>61</v>
      </c>
      <c r="B7" s="2" t="s">
        <v>62</v>
      </c>
    </row>
    <row r="8" spans="1:2" ht="56.1" customHeight="1" x14ac:dyDescent="0.25">
      <c r="A8" s="5" t="s">
        <v>63</v>
      </c>
      <c r="B8" s="2" t="s">
        <v>64</v>
      </c>
    </row>
    <row r="9" spans="1:2" ht="98.1" customHeight="1" x14ac:dyDescent="0.25">
      <c r="A9" s="5" t="s">
        <v>65</v>
      </c>
      <c r="B9" s="2" t="s">
        <v>66</v>
      </c>
    </row>
    <row r="10" spans="1:2" ht="98.1" customHeight="1" x14ac:dyDescent="0.25">
      <c r="A10" s="5" t="s">
        <v>67</v>
      </c>
      <c r="B10" s="2" t="s">
        <v>68</v>
      </c>
    </row>
    <row r="11" spans="1:2" ht="69.95" customHeight="1" x14ac:dyDescent="0.25">
      <c r="A11" s="5" t="s">
        <v>69</v>
      </c>
      <c r="B11" s="2" t="s">
        <v>70</v>
      </c>
    </row>
    <row r="12" spans="1:2" ht="153.94999999999999" customHeight="1" x14ac:dyDescent="0.25">
      <c r="A12" s="5" t="s">
        <v>71</v>
      </c>
      <c r="B12" s="2" t="s">
        <v>72</v>
      </c>
    </row>
  </sheetData>
  <mergeCells count="2">
    <mergeCell ref="A2:B2"/>
    <mergeCell ref="A1:B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6"/>
  <sheetViews>
    <sheetView showGridLines="0" workbookViewId="0">
      <pane ySplit="4" topLeftCell="A5" activePane="bottomLeft" state="frozen"/>
      <selection pane="bottomLeft" sqref="A1:G1"/>
    </sheetView>
  </sheetViews>
  <sheetFormatPr baseColWidth="10" defaultColWidth="9.140625" defaultRowHeight="15" x14ac:dyDescent="0.25"/>
  <cols>
    <col min="1" max="1" width="7" customWidth="1"/>
    <col min="2" max="2" width="9" customWidth="1"/>
    <col min="3" max="3" width="42" customWidth="1"/>
    <col min="4" max="4" width="11" customWidth="1"/>
    <col min="5" max="5" width="14" customWidth="1"/>
    <col min="6" max="6" width="30" customWidth="1"/>
    <col min="7" max="7" width="40" customWidth="1"/>
    <col min="8" max="8" width="55" customWidth="1"/>
    <col min="9" max="9" width="22" customWidth="1"/>
  </cols>
  <sheetData>
    <row r="1" spans="1:9" ht="26.1" customHeight="1" x14ac:dyDescent="0.25">
      <c r="A1" s="30" t="s">
        <v>73</v>
      </c>
      <c r="B1" s="29"/>
      <c r="C1" s="29"/>
      <c r="D1" s="29"/>
      <c r="E1" s="29"/>
      <c r="F1" s="29"/>
      <c r="G1" s="29"/>
    </row>
    <row r="2" spans="1:9" ht="18" customHeight="1" x14ac:dyDescent="0.25">
      <c r="A2" s="28" t="s">
        <v>74</v>
      </c>
      <c r="B2" s="29"/>
      <c r="C2" s="29"/>
      <c r="D2" s="29"/>
      <c r="E2" s="29"/>
      <c r="F2" s="29"/>
      <c r="G2" s="29"/>
    </row>
    <row r="4" spans="1:9" ht="27.95" customHeight="1" x14ac:dyDescent="0.25">
      <c r="A4" s="6" t="s">
        <v>75</v>
      </c>
      <c r="B4" s="6" t="s">
        <v>76</v>
      </c>
      <c r="C4" s="6" t="s">
        <v>77</v>
      </c>
      <c r="D4" s="6" t="s">
        <v>78</v>
      </c>
      <c r="E4" s="6" t="s">
        <v>79</v>
      </c>
      <c r="F4" s="6" t="s">
        <v>80</v>
      </c>
      <c r="G4" s="6" t="s">
        <v>81</v>
      </c>
      <c r="H4" s="6" t="s">
        <v>82</v>
      </c>
      <c r="I4" s="6" t="s">
        <v>83</v>
      </c>
    </row>
    <row r="5" spans="1:9" ht="27.95" customHeight="1" x14ac:dyDescent="0.25">
      <c r="A5" s="7" t="s">
        <v>84</v>
      </c>
      <c r="B5" s="7" t="s">
        <v>85</v>
      </c>
      <c r="C5" s="2" t="s">
        <v>86</v>
      </c>
      <c r="D5" s="8">
        <v>0.1</v>
      </c>
      <c r="E5" s="7" t="s">
        <v>87</v>
      </c>
      <c r="F5" s="2" t="s">
        <v>88</v>
      </c>
      <c r="G5" s="2" t="s">
        <v>89</v>
      </c>
      <c r="H5" s="9" t="s">
        <v>90</v>
      </c>
      <c r="I5" s="10">
        <v>2750</v>
      </c>
    </row>
    <row r="6" spans="1:9" ht="27.95" customHeight="1" x14ac:dyDescent="0.25">
      <c r="A6" s="7" t="s">
        <v>84</v>
      </c>
      <c r="B6" s="7" t="s">
        <v>91</v>
      </c>
      <c r="C6" s="2" t="s">
        <v>92</v>
      </c>
      <c r="D6" s="8">
        <v>0.1</v>
      </c>
      <c r="E6" s="7" t="s">
        <v>87</v>
      </c>
      <c r="F6" s="2" t="s">
        <v>88</v>
      </c>
      <c r="G6" s="2" t="s">
        <v>89</v>
      </c>
      <c r="H6" s="9" t="s">
        <v>93</v>
      </c>
      <c r="I6" s="10">
        <v>2750</v>
      </c>
    </row>
    <row r="7" spans="1:9" ht="27.95" customHeight="1" x14ac:dyDescent="0.25">
      <c r="A7" s="7" t="s">
        <v>94</v>
      </c>
      <c r="B7" s="7" t="s">
        <v>95</v>
      </c>
      <c r="C7" s="2" t="s">
        <v>96</v>
      </c>
      <c r="D7" s="8">
        <v>0.04</v>
      </c>
      <c r="E7" s="7" t="s">
        <v>97</v>
      </c>
      <c r="F7" s="2" t="s">
        <v>88</v>
      </c>
      <c r="G7" s="2" t="s">
        <v>89</v>
      </c>
      <c r="H7" s="9" t="s">
        <v>98</v>
      </c>
      <c r="I7" s="10">
        <v>700</v>
      </c>
    </row>
    <row r="8" spans="1:9" ht="27.95" customHeight="1" x14ac:dyDescent="0.25">
      <c r="A8" s="7" t="s">
        <v>94</v>
      </c>
      <c r="B8" s="7" t="s">
        <v>99</v>
      </c>
      <c r="C8" s="2" t="s">
        <v>100</v>
      </c>
      <c r="D8" s="8">
        <v>0.04</v>
      </c>
      <c r="E8" s="7" t="s">
        <v>97</v>
      </c>
      <c r="F8" s="2" t="s">
        <v>88</v>
      </c>
      <c r="G8" s="2" t="s">
        <v>89</v>
      </c>
      <c r="H8" s="9" t="s">
        <v>101</v>
      </c>
      <c r="I8" s="10">
        <v>700</v>
      </c>
    </row>
    <row r="9" spans="1:9" ht="27.95" customHeight="1" x14ac:dyDescent="0.25">
      <c r="A9" s="7" t="s">
        <v>94</v>
      </c>
      <c r="B9" s="7" t="s">
        <v>102</v>
      </c>
      <c r="C9" s="2" t="s">
        <v>103</v>
      </c>
      <c r="D9" s="8">
        <v>0.1</v>
      </c>
      <c r="E9" s="7" t="s">
        <v>97</v>
      </c>
      <c r="F9" s="2" t="s">
        <v>88</v>
      </c>
      <c r="G9" s="2" t="s">
        <v>89</v>
      </c>
      <c r="H9" s="9" t="s">
        <v>104</v>
      </c>
      <c r="I9" s="10">
        <v>700</v>
      </c>
    </row>
    <row r="10" spans="1:9" ht="27.95" customHeight="1" x14ac:dyDescent="0.25">
      <c r="A10" s="7" t="s">
        <v>94</v>
      </c>
      <c r="B10" s="7" t="s">
        <v>105</v>
      </c>
      <c r="C10" s="2" t="s">
        <v>106</v>
      </c>
      <c r="D10" s="8">
        <v>0.04</v>
      </c>
      <c r="E10" s="7" t="s">
        <v>97</v>
      </c>
      <c r="F10" s="2" t="s">
        <v>107</v>
      </c>
      <c r="G10" s="2" t="s">
        <v>89</v>
      </c>
      <c r="H10" s="9" t="s">
        <v>108</v>
      </c>
      <c r="I10" s="10">
        <v>700</v>
      </c>
    </row>
    <row r="11" spans="1:9" ht="27.95" customHeight="1" x14ac:dyDescent="0.25">
      <c r="A11" s="7" t="s">
        <v>94</v>
      </c>
      <c r="B11" s="7" t="s">
        <v>109</v>
      </c>
      <c r="C11" s="2" t="s">
        <v>110</v>
      </c>
      <c r="D11" s="8">
        <v>0.1</v>
      </c>
      <c r="E11" s="7" t="s">
        <v>97</v>
      </c>
      <c r="F11" s="2" t="s">
        <v>88</v>
      </c>
      <c r="G11" s="2" t="s">
        <v>89</v>
      </c>
      <c r="H11" s="9" t="s">
        <v>111</v>
      </c>
      <c r="I11" s="10">
        <v>700</v>
      </c>
    </row>
    <row r="12" spans="1:9" ht="27.95" customHeight="1" x14ac:dyDescent="0.25">
      <c r="A12" s="7" t="s">
        <v>94</v>
      </c>
      <c r="B12" s="7" t="s">
        <v>112</v>
      </c>
      <c r="C12" s="2" t="s">
        <v>113</v>
      </c>
      <c r="D12" s="8">
        <v>0.15</v>
      </c>
      <c r="E12" s="7" t="s">
        <v>97</v>
      </c>
      <c r="F12" s="2" t="s">
        <v>88</v>
      </c>
      <c r="G12" s="2" t="s">
        <v>89</v>
      </c>
      <c r="H12" s="9" t="s">
        <v>114</v>
      </c>
      <c r="I12" s="10">
        <v>700</v>
      </c>
    </row>
    <row r="13" spans="1:9" ht="27.95" customHeight="1" x14ac:dyDescent="0.25">
      <c r="A13" s="7" t="s">
        <v>94</v>
      </c>
      <c r="B13" s="7" t="s">
        <v>115</v>
      </c>
      <c r="C13" s="2" t="s">
        <v>116</v>
      </c>
      <c r="D13" s="8">
        <v>0.1</v>
      </c>
      <c r="E13" s="7" t="s">
        <v>97</v>
      </c>
      <c r="F13" s="2" t="s">
        <v>88</v>
      </c>
      <c r="G13" s="2" t="s">
        <v>89</v>
      </c>
      <c r="H13" s="9" t="s">
        <v>117</v>
      </c>
      <c r="I13" s="10">
        <v>700</v>
      </c>
    </row>
    <row r="14" spans="1:9" ht="27.95" customHeight="1" x14ac:dyDescent="0.25">
      <c r="A14" s="7" t="s">
        <v>94</v>
      </c>
      <c r="B14" s="7" t="s">
        <v>118</v>
      </c>
      <c r="C14" s="2" t="s">
        <v>119</v>
      </c>
      <c r="D14" s="8">
        <v>0.04</v>
      </c>
      <c r="E14" s="7" t="s">
        <v>97</v>
      </c>
      <c r="F14" s="2" t="s">
        <v>88</v>
      </c>
      <c r="G14" s="2" t="s">
        <v>120</v>
      </c>
      <c r="H14" s="9" t="s">
        <v>121</v>
      </c>
      <c r="I14" s="10">
        <v>700</v>
      </c>
    </row>
    <row r="15" spans="1:9" ht="27.95" customHeight="1" x14ac:dyDescent="0.25">
      <c r="A15" s="7" t="s">
        <v>94</v>
      </c>
      <c r="B15" s="7" t="s">
        <v>122</v>
      </c>
      <c r="C15" s="2" t="s">
        <v>123</v>
      </c>
      <c r="D15" s="8">
        <v>0.1</v>
      </c>
      <c r="E15" s="7" t="s">
        <v>97</v>
      </c>
      <c r="F15" s="2" t="s">
        <v>88</v>
      </c>
      <c r="G15" s="2" t="s">
        <v>89</v>
      </c>
      <c r="H15" s="9" t="s">
        <v>124</v>
      </c>
      <c r="I15" s="10">
        <v>700</v>
      </c>
    </row>
    <row r="16" spans="1:9" ht="27.95" customHeight="1" x14ac:dyDescent="0.25">
      <c r="A16" s="7" t="s">
        <v>94</v>
      </c>
      <c r="B16" s="7" t="s">
        <v>125</v>
      </c>
      <c r="C16" s="2" t="s">
        <v>126</v>
      </c>
      <c r="D16" s="8">
        <v>0.04</v>
      </c>
      <c r="E16" s="7" t="s">
        <v>97</v>
      </c>
      <c r="F16" s="2" t="s">
        <v>88</v>
      </c>
      <c r="G16" s="2" t="s">
        <v>89</v>
      </c>
      <c r="H16" s="9" t="s">
        <v>127</v>
      </c>
      <c r="I16" s="10">
        <v>700</v>
      </c>
    </row>
    <row r="17" spans="1:9" ht="27.95" customHeight="1" x14ac:dyDescent="0.25">
      <c r="A17" s="7" t="s">
        <v>94</v>
      </c>
      <c r="B17" s="7" t="s">
        <v>128</v>
      </c>
      <c r="C17" s="2" t="s">
        <v>129</v>
      </c>
      <c r="D17" s="8">
        <v>0.04</v>
      </c>
      <c r="E17" s="7" t="s">
        <v>97</v>
      </c>
      <c r="F17" s="2" t="s">
        <v>88</v>
      </c>
      <c r="G17" s="2" t="s">
        <v>89</v>
      </c>
      <c r="H17" s="9" t="s">
        <v>130</v>
      </c>
      <c r="I17" s="10">
        <v>700</v>
      </c>
    </row>
    <row r="18" spans="1:9" ht="27.95" customHeight="1" x14ac:dyDescent="0.25">
      <c r="A18" s="7" t="s">
        <v>94</v>
      </c>
      <c r="B18" s="7" t="s">
        <v>131</v>
      </c>
      <c r="C18" s="2" t="s">
        <v>132</v>
      </c>
      <c r="D18" s="8">
        <v>0.1</v>
      </c>
      <c r="E18" s="7" t="s">
        <v>97</v>
      </c>
      <c r="F18" s="2" t="s">
        <v>88</v>
      </c>
      <c r="G18" s="2" t="s">
        <v>89</v>
      </c>
      <c r="H18" s="9" t="s">
        <v>133</v>
      </c>
      <c r="I18" s="10">
        <v>700</v>
      </c>
    </row>
    <row r="19" spans="1:9" ht="27.95" customHeight="1" x14ac:dyDescent="0.25">
      <c r="A19" s="7" t="s">
        <v>94</v>
      </c>
      <c r="B19" s="7" t="s">
        <v>134</v>
      </c>
      <c r="C19" s="2" t="s">
        <v>135</v>
      </c>
      <c r="D19" s="8">
        <v>0.1</v>
      </c>
      <c r="E19" s="7" t="s">
        <v>97</v>
      </c>
      <c r="F19" s="2" t="s">
        <v>88</v>
      </c>
      <c r="G19" s="2" t="s">
        <v>89</v>
      </c>
      <c r="H19" s="9" t="s">
        <v>136</v>
      </c>
      <c r="I19" s="10">
        <v>700</v>
      </c>
    </row>
    <row r="20" spans="1:9" ht="27.95" customHeight="1" x14ac:dyDescent="0.25">
      <c r="A20" s="7" t="s">
        <v>94</v>
      </c>
      <c r="B20" s="7" t="s">
        <v>137</v>
      </c>
      <c r="C20" s="2" t="s">
        <v>138</v>
      </c>
      <c r="D20" s="8">
        <v>0.1</v>
      </c>
      <c r="E20" s="7" t="s">
        <v>97</v>
      </c>
      <c r="F20" s="2" t="s">
        <v>88</v>
      </c>
      <c r="G20" s="2" t="s">
        <v>89</v>
      </c>
      <c r="H20" s="9" t="s">
        <v>139</v>
      </c>
      <c r="I20" s="10">
        <v>700</v>
      </c>
    </row>
    <row r="21" spans="1:9" ht="27.95" customHeight="1" x14ac:dyDescent="0.25">
      <c r="A21" s="7" t="s">
        <v>94</v>
      </c>
      <c r="B21" s="7" t="s">
        <v>140</v>
      </c>
      <c r="C21" s="2" t="s">
        <v>141</v>
      </c>
      <c r="D21" s="8">
        <v>1.4999999999999999E-2</v>
      </c>
      <c r="E21" s="7" t="s">
        <v>97</v>
      </c>
      <c r="F21" s="2" t="s">
        <v>88</v>
      </c>
      <c r="G21" s="2" t="s">
        <v>89</v>
      </c>
      <c r="H21" s="9" t="s">
        <v>142</v>
      </c>
      <c r="I21" s="10">
        <v>700</v>
      </c>
    </row>
    <row r="22" spans="1:9" ht="27.95" customHeight="1" x14ac:dyDescent="0.25">
      <c r="A22" s="7" t="s">
        <v>94</v>
      </c>
      <c r="B22" s="7" t="s">
        <v>143</v>
      </c>
      <c r="C22" s="2" t="s">
        <v>144</v>
      </c>
      <c r="D22" s="8">
        <v>1.4999999999999999E-2</v>
      </c>
      <c r="E22" s="7" t="s">
        <v>97</v>
      </c>
      <c r="F22" s="2" t="s">
        <v>88</v>
      </c>
      <c r="G22" s="2" t="s">
        <v>89</v>
      </c>
      <c r="H22" s="9" t="s">
        <v>145</v>
      </c>
      <c r="I22" s="10">
        <v>700</v>
      </c>
    </row>
    <row r="23" spans="1:9" ht="27.95" customHeight="1" x14ac:dyDescent="0.25">
      <c r="A23" s="7" t="s">
        <v>94</v>
      </c>
      <c r="B23" s="7" t="s">
        <v>146</v>
      </c>
      <c r="C23" s="2" t="s">
        <v>147</v>
      </c>
      <c r="D23" s="8">
        <v>0.1</v>
      </c>
      <c r="E23" s="7" t="s">
        <v>97</v>
      </c>
      <c r="F23" s="2" t="s">
        <v>88</v>
      </c>
      <c r="G23" s="2" t="s">
        <v>89</v>
      </c>
      <c r="H23" s="9" t="s">
        <v>148</v>
      </c>
      <c r="I23" s="10">
        <v>700</v>
      </c>
    </row>
    <row r="24" spans="1:9" ht="27.95" customHeight="1" x14ac:dyDescent="0.25">
      <c r="A24" s="7" t="s">
        <v>94</v>
      </c>
      <c r="B24" s="7" t="s">
        <v>149</v>
      </c>
      <c r="C24" s="2" t="s">
        <v>150</v>
      </c>
      <c r="D24" s="8">
        <v>0.15</v>
      </c>
      <c r="E24" s="7" t="s">
        <v>97</v>
      </c>
      <c r="F24" s="2" t="s">
        <v>88</v>
      </c>
      <c r="G24" s="2" t="s">
        <v>89</v>
      </c>
      <c r="H24" s="9" t="s">
        <v>151</v>
      </c>
      <c r="I24" s="10">
        <v>700</v>
      </c>
    </row>
    <row r="25" spans="1:9" ht="27.95" customHeight="1" x14ac:dyDescent="0.25">
      <c r="A25" s="7" t="s">
        <v>152</v>
      </c>
      <c r="B25" s="7" t="s">
        <v>153</v>
      </c>
      <c r="C25" s="2" t="s">
        <v>154</v>
      </c>
      <c r="D25" s="8">
        <v>0.12</v>
      </c>
      <c r="E25" s="7" t="s">
        <v>97</v>
      </c>
      <c r="F25" s="2" t="s">
        <v>155</v>
      </c>
      <c r="G25" s="2" t="s">
        <v>156</v>
      </c>
      <c r="H25" s="9" t="s">
        <v>157</v>
      </c>
      <c r="I25" s="10">
        <v>700</v>
      </c>
    </row>
    <row r="26" spans="1:9" ht="27.95" customHeight="1" x14ac:dyDescent="0.25">
      <c r="A26" s="7" t="s">
        <v>152</v>
      </c>
      <c r="B26" s="7" t="s">
        <v>158</v>
      </c>
      <c r="C26" s="2" t="s">
        <v>159</v>
      </c>
      <c r="D26" s="8">
        <v>0.1</v>
      </c>
      <c r="E26" s="7" t="s">
        <v>97</v>
      </c>
      <c r="F26" s="2" t="s">
        <v>155</v>
      </c>
      <c r="G26" s="2" t="s">
        <v>160</v>
      </c>
      <c r="H26" s="9" t="s">
        <v>161</v>
      </c>
      <c r="I26" s="10">
        <v>700</v>
      </c>
    </row>
    <row r="27" spans="1:9" ht="27.95" customHeight="1" x14ac:dyDescent="0.25">
      <c r="A27" s="7" t="s">
        <v>152</v>
      </c>
      <c r="B27" s="7" t="s">
        <v>162</v>
      </c>
      <c r="C27" s="2" t="s">
        <v>163</v>
      </c>
      <c r="D27" s="8">
        <v>0.12</v>
      </c>
      <c r="E27" s="7" t="s">
        <v>97</v>
      </c>
      <c r="F27" s="2" t="s">
        <v>155</v>
      </c>
      <c r="G27" s="2" t="s">
        <v>164</v>
      </c>
      <c r="H27" s="9" t="s">
        <v>165</v>
      </c>
      <c r="I27" s="10">
        <v>700</v>
      </c>
    </row>
    <row r="28" spans="1:9" ht="27.95" customHeight="1" x14ac:dyDescent="0.25">
      <c r="A28" s="7" t="s">
        <v>152</v>
      </c>
      <c r="B28" s="7" t="s">
        <v>166</v>
      </c>
      <c r="C28" s="2" t="s">
        <v>167</v>
      </c>
      <c r="D28" s="8">
        <v>0.1</v>
      </c>
      <c r="E28" s="7" t="s">
        <v>97</v>
      </c>
      <c r="F28" s="2" t="s">
        <v>155</v>
      </c>
      <c r="G28" s="2" t="s">
        <v>168</v>
      </c>
      <c r="H28" s="9" t="s">
        <v>169</v>
      </c>
      <c r="I28" s="10">
        <v>700</v>
      </c>
    </row>
    <row r="29" spans="1:9" ht="27.95" customHeight="1" x14ac:dyDescent="0.25">
      <c r="A29" s="7" t="s">
        <v>152</v>
      </c>
      <c r="B29" s="7" t="s">
        <v>170</v>
      </c>
      <c r="C29" s="2" t="s">
        <v>171</v>
      </c>
      <c r="D29" s="8">
        <v>0.12</v>
      </c>
      <c r="E29" s="7" t="s">
        <v>97</v>
      </c>
      <c r="F29" s="2" t="s">
        <v>155</v>
      </c>
      <c r="G29" s="2" t="s">
        <v>172</v>
      </c>
      <c r="H29" s="9" t="s">
        <v>173</v>
      </c>
      <c r="I29" s="10">
        <v>700</v>
      </c>
    </row>
    <row r="30" spans="1:9" ht="27.95" customHeight="1" x14ac:dyDescent="0.25">
      <c r="A30" s="7" t="s">
        <v>152</v>
      </c>
      <c r="B30" s="7" t="s">
        <v>174</v>
      </c>
      <c r="C30" s="2" t="s">
        <v>175</v>
      </c>
      <c r="D30" s="8">
        <v>0.1</v>
      </c>
      <c r="E30" s="7" t="s">
        <v>97</v>
      </c>
      <c r="F30" s="2" t="s">
        <v>155</v>
      </c>
      <c r="G30" s="2" t="s">
        <v>176</v>
      </c>
      <c r="H30" s="9" t="s">
        <v>177</v>
      </c>
      <c r="I30" s="10">
        <v>700</v>
      </c>
    </row>
    <row r="31" spans="1:9" ht="27.95" customHeight="1" x14ac:dyDescent="0.25">
      <c r="A31" s="7" t="s">
        <v>152</v>
      </c>
      <c r="B31" s="7" t="s">
        <v>178</v>
      </c>
      <c r="C31" s="2" t="s">
        <v>179</v>
      </c>
      <c r="D31" s="8">
        <v>0.1</v>
      </c>
      <c r="E31" s="7" t="s">
        <v>97</v>
      </c>
      <c r="F31" s="2" t="s">
        <v>155</v>
      </c>
      <c r="G31" s="2" t="s">
        <v>89</v>
      </c>
      <c r="H31" s="9" t="s">
        <v>180</v>
      </c>
      <c r="I31" s="10">
        <v>700</v>
      </c>
    </row>
    <row r="32" spans="1:9" ht="27.95" customHeight="1" x14ac:dyDescent="0.25">
      <c r="A32" s="7" t="s">
        <v>152</v>
      </c>
      <c r="B32" s="7" t="s">
        <v>181</v>
      </c>
      <c r="C32" s="2" t="s">
        <v>182</v>
      </c>
      <c r="D32" s="8">
        <v>0.1</v>
      </c>
      <c r="E32" s="7" t="s">
        <v>97</v>
      </c>
      <c r="F32" s="2" t="s">
        <v>155</v>
      </c>
      <c r="G32" s="2" t="s">
        <v>183</v>
      </c>
      <c r="H32" s="9" t="s">
        <v>184</v>
      </c>
      <c r="I32" s="10">
        <v>700</v>
      </c>
    </row>
    <row r="33" spans="1:9" ht="27.95" customHeight="1" x14ac:dyDescent="0.25">
      <c r="A33" s="7" t="s">
        <v>185</v>
      </c>
      <c r="B33" s="7" t="s">
        <v>186</v>
      </c>
      <c r="C33" s="2" t="s">
        <v>187</v>
      </c>
      <c r="D33" s="8">
        <v>0.04</v>
      </c>
      <c r="E33" s="7" t="s">
        <v>188</v>
      </c>
      <c r="F33" s="2" t="s">
        <v>155</v>
      </c>
      <c r="G33" s="2" t="s">
        <v>189</v>
      </c>
      <c r="H33" s="9" t="s">
        <v>190</v>
      </c>
      <c r="I33" s="10">
        <v>400</v>
      </c>
    </row>
    <row r="34" spans="1:9" ht="27.95" customHeight="1" x14ac:dyDescent="0.25">
      <c r="A34" s="7" t="s">
        <v>152</v>
      </c>
      <c r="B34" s="7" t="s">
        <v>191</v>
      </c>
      <c r="C34" s="2" t="s">
        <v>192</v>
      </c>
      <c r="D34" s="8">
        <v>0.04</v>
      </c>
      <c r="E34" s="7" t="s">
        <v>97</v>
      </c>
      <c r="F34" s="2" t="s">
        <v>193</v>
      </c>
      <c r="G34" s="2" t="s">
        <v>194</v>
      </c>
      <c r="H34" s="9" t="s">
        <v>195</v>
      </c>
      <c r="I34" s="10">
        <v>700</v>
      </c>
    </row>
    <row r="35" spans="1:9" ht="27.95" customHeight="1" x14ac:dyDescent="0.25">
      <c r="A35" s="7" t="s">
        <v>152</v>
      </c>
      <c r="B35" s="7" t="s">
        <v>196</v>
      </c>
      <c r="C35" s="2" t="s">
        <v>197</v>
      </c>
      <c r="D35" s="8">
        <v>0.12</v>
      </c>
      <c r="E35" s="7" t="s">
        <v>97</v>
      </c>
      <c r="F35" s="2" t="s">
        <v>155</v>
      </c>
      <c r="G35" s="2" t="s">
        <v>198</v>
      </c>
      <c r="H35" s="9" t="s">
        <v>199</v>
      </c>
      <c r="I35" s="10">
        <v>700</v>
      </c>
    </row>
    <row r="36" spans="1:9" ht="27.95" customHeight="1" x14ac:dyDescent="0.25">
      <c r="A36" s="7" t="s">
        <v>200</v>
      </c>
      <c r="B36" s="7" t="s">
        <v>201</v>
      </c>
      <c r="C36" s="2" t="s">
        <v>202</v>
      </c>
      <c r="D36" s="11">
        <v>0</v>
      </c>
      <c r="E36" s="7" t="s">
        <v>201</v>
      </c>
      <c r="F36" s="2" t="s">
        <v>203</v>
      </c>
      <c r="G36" s="2" t="s">
        <v>204</v>
      </c>
      <c r="H36" s="9" t="s">
        <v>205</v>
      </c>
      <c r="I36" s="10">
        <v>0</v>
      </c>
    </row>
  </sheetData>
  <autoFilter ref="A4:I36" xr:uid="{00000000-0009-0000-0000-000002000000}"/>
  <mergeCells count="2">
    <mergeCell ref="A2:G2"/>
    <mergeCell ref="A1:G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68"/>
  <sheetViews>
    <sheetView showGridLines="0" zoomScale="90" workbookViewId="0">
      <pane ySplit="4" topLeftCell="A5" activePane="bottomLeft" state="frozen"/>
      <selection pane="bottomLeft" activeCell="A5" sqref="A5"/>
    </sheetView>
  </sheetViews>
  <sheetFormatPr baseColWidth="10" defaultColWidth="9.140625" defaultRowHeight="15" x14ac:dyDescent="0.25"/>
  <cols>
    <col min="1" max="1" width="12" customWidth="1"/>
    <col min="2" max="2" width="24" customWidth="1"/>
    <col min="3" max="3" width="13" customWidth="1"/>
    <col min="4" max="4" width="14" customWidth="1"/>
    <col min="5" max="5" width="30" customWidth="1"/>
    <col min="6" max="6" width="46" customWidth="1"/>
    <col min="7" max="7" width="14" customWidth="1"/>
    <col min="8" max="8" width="12" customWidth="1"/>
    <col min="9" max="9" width="14" customWidth="1"/>
    <col min="10" max="10" width="10" customWidth="1"/>
    <col min="11" max="12" width="14" customWidth="1"/>
    <col min="13" max="13" width="30" customWidth="1"/>
    <col min="14" max="14" width="12" customWidth="1"/>
    <col min="15" max="15" width="16" customWidth="1"/>
    <col min="16" max="16" width="26" customWidth="1"/>
  </cols>
  <sheetData>
    <row r="1" spans="1:16" ht="26.1" customHeight="1" x14ac:dyDescent="0.25">
      <c r="A1" s="30" t="s">
        <v>206</v>
      </c>
      <c r="B1" s="29"/>
      <c r="C1" s="29"/>
      <c r="D1" s="29"/>
      <c r="E1" s="29"/>
      <c r="F1" s="29"/>
      <c r="G1" s="29"/>
      <c r="H1" s="29"/>
      <c r="I1" s="29"/>
      <c r="J1" s="29"/>
      <c r="K1" s="29"/>
      <c r="L1" s="29"/>
      <c r="M1" s="29"/>
      <c r="N1" s="29"/>
      <c r="O1" s="29"/>
      <c r="P1" s="29"/>
    </row>
    <row r="2" spans="1:16" ht="18" customHeight="1" x14ac:dyDescent="0.25">
      <c r="A2" s="28" t="s">
        <v>207</v>
      </c>
      <c r="B2" s="29"/>
      <c r="C2" s="29"/>
      <c r="D2" s="29"/>
      <c r="E2" s="29"/>
      <c r="F2" s="29"/>
      <c r="G2" s="29"/>
      <c r="H2" s="29"/>
      <c r="I2" s="29"/>
      <c r="J2" s="29"/>
      <c r="K2" s="29"/>
      <c r="L2" s="29"/>
      <c r="M2" s="29"/>
      <c r="N2" s="29"/>
      <c r="O2" s="29"/>
      <c r="P2" s="29"/>
    </row>
    <row r="4" spans="1:16" ht="42" customHeight="1" x14ac:dyDescent="0.25">
      <c r="A4" s="6" t="s">
        <v>208</v>
      </c>
      <c r="B4" s="6" t="s">
        <v>209</v>
      </c>
      <c r="C4" s="6" t="s">
        <v>210</v>
      </c>
      <c r="D4" s="6" t="s">
        <v>211</v>
      </c>
      <c r="E4" s="6" t="s">
        <v>212</v>
      </c>
      <c r="F4" s="6" t="s">
        <v>213</v>
      </c>
      <c r="G4" s="6" t="s">
        <v>214</v>
      </c>
      <c r="H4" s="6" t="s">
        <v>215</v>
      </c>
      <c r="I4" s="6" t="s">
        <v>216</v>
      </c>
      <c r="J4" s="6" t="s">
        <v>217</v>
      </c>
      <c r="K4" s="6" t="s">
        <v>218</v>
      </c>
      <c r="L4" s="6" t="s">
        <v>219</v>
      </c>
      <c r="M4" s="6" t="s">
        <v>220</v>
      </c>
      <c r="N4" s="6" t="s">
        <v>221</v>
      </c>
      <c r="O4" s="6" t="s">
        <v>222</v>
      </c>
      <c r="P4" s="6" t="s">
        <v>223</v>
      </c>
    </row>
    <row r="5" spans="1:16" ht="30" customHeight="1" x14ac:dyDescent="0.25">
      <c r="A5" s="12" t="s">
        <v>224</v>
      </c>
      <c r="B5" s="13" t="s">
        <v>225</v>
      </c>
      <c r="C5" s="7" t="s">
        <v>226</v>
      </c>
      <c r="D5" s="13" t="s">
        <v>227</v>
      </c>
      <c r="E5" s="2" t="s">
        <v>228</v>
      </c>
      <c r="F5" s="2" t="s">
        <v>173</v>
      </c>
      <c r="G5" s="14">
        <v>1000</v>
      </c>
      <c r="H5" s="14">
        <f t="shared" ref="H5:H36" si="0">IF(G5="","",ROUND(G5*0.18,2))</f>
        <v>180</v>
      </c>
      <c r="I5" s="14">
        <f t="shared" ref="I5:I36" si="1">IF(G5="","",G5+H5)</f>
        <v>1180</v>
      </c>
      <c r="J5" s="15">
        <f>IFERROR(INDEX('Categorías y Tasas'!$D$5:$D$36,MATCH(F5,'Categorías y Tasas'!$H$5:$H$36,0)),"")</f>
        <v>0.12</v>
      </c>
      <c r="K5" s="14">
        <f>IF(OR(F5="",J5=""),"",IF(I5&gt;IFERROR(INDEX('Categorías y Tasas'!$I$5:$I$36,MATCH(F5,'Categorías y Tasas'!$H$5:$H$36,0)),0),ROUND(I5*J5,2),0))</f>
        <v>141.6</v>
      </c>
      <c r="L5" s="12"/>
      <c r="M5" s="13" t="str">
        <f>IFERROR(INDEX('Categorías y Tasas'!$F$5:$F$36,MATCH(F5,'Categorías y Tasas'!$H$5:$H$36,0)),"")</f>
        <v>63 Gastos de servicios prestados por terceros</v>
      </c>
      <c r="N5" s="7" t="s">
        <v>229</v>
      </c>
      <c r="O5" s="13" t="s">
        <v>230</v>
      </c>
      <c r="P5" s="2" t="s">
        <v>231</v>
      </c>
    </row>
    <row r="6" spans="1:16" ht="30" customHeight="1" x14ac:dyDescent="0.25">
      <c r="A6" s="12" t="s">
        <v>232</v>
      </c>
      <c r="B6" s="13" t="s">
        <v>233</v>
      </c>
      <c r="C6" s="7" t="s">
        <v>234</v>
      </c>
      <c r="D6" s="13" t="s">
        <v>235</v>
      </c>
      <c r="E6" s="2" t="s">
        <v>236</v>
      </c>
      <c r="F6" s="2" t="s">
        <v>190</v>
      </c>
      <c r="G6" s="14">
        <v>850</v>
      </c>
      <c r="H6" s="14">
        <f t="shared" si="0"/>
        <v>153</v>
      </c>
      <c r="I6" s="14">
        <f t="shared" si="1"/>
        <v>1003</v>
      </c>
      <c r="J6" s="15">
        <f>IFERROR(INDEX('Categorías y Tasas'!$D$5:$D$36,MATCH(F6,'Categorías y Tasas'!$H$5:$H$36,0)),"")</f>
        <v>0.04</v>
      </c>
      <c r="K6" s="14">
        <f>IF(OR(F6="",J6=""),"",IF(I6&gt;IFERROR(INDEX('Categorías y Tasas'!$I$5:$I$36,MATCH(F6,'Categorías y Tasas'!$H$5:$H$36,0)),0),ROUND(I6*J6,2),0))</f>
        <v>40.119999999999997</v>
      </c>
      <c r="L6" s="12"/>
      <c r="M6" s="13" t="str">
        <f>IFERROR(INDEX('Categorías y Tasas'!$F$5:$F$36,MATCH(F6,'Categorías y Tasas'!$H$5:$H$36,0)),"")</f>
        <v>63 Gastos de servicios prestados por terceros</v>
      </c>
      <c r="N6" s="7" t="s">
        <v>237</v>
      </c>
      <c r="O6" s="13"/>
      <c r="P6" s="2" t="s">
        <v>231</v>
      </c>
    </row>
    <row r="7" spans="1:16" ht="30" customHeight="1" x14ac:dyDescent="0.25">
      <c r="A7" s="12" t="s">
        <v>238</v>
      </c>
      <c r="B7" s="13" t="s">
        <v>239</v>
      </c>
      <c r="C7" s="7" t="s">
        <v>240</v>
      </c>
      <c r="D7" s="13" t="s">
        <v>241</v>
      </c>
      <c r="E7" s="2" t="s">
        <v>242</v>
      </c>
      <c r="F7" s="2" t="s">
        <v>161</v>
      </c>
      <c r="G7" s="14">
        <v>3500</v>
      </c>
      <c r="H7" s="14">
        <f t="shared" si="0"/>
        <v>630</v>
      </c>
      <c r="I7" s="14">
        <f t="shared" si="1"/>
        <v>4130</v>
      </c>
      <c r="J7" s="15">
        <f>IFERROR(INDEX('Categorías y Tasas'!$D$5:$D$36,MATCH(F7,'Categorías y Tasas'!$H$5:$H$36,0)),"")</f>
        <v>0.1</v>
      </c>
      <c r="K7" s="14">
        <f>IF(OR(F7="",J7=""),"",IF(I7&gt;IFERROR(INDEX('Categorías y Tasas'!$I$5:$I$36,MATCH(F7,'Categorías y Tasas'!$H$5:$H$36,0)),0),ROUND(I7*J7,2),0))</f>
        <v>413</v>
      </c>
      <c r="L7" s="12"/>
      <c r="M7" s="13" t="str">
        <f>IFERROR(INDEX('Categorías y Tasas'!$F$5:$F$36,MATCH(F7,'Categorías y Tasas'!$H$5:$H$36,0)),"")</f>
        <v>63 Gastos de servicios prestados por terceros</v>
      </c>
      <c r="N7" s="7" t="s">
        <v>237</v>
      </c>
      <c r="O7" s="13"/>
      <c r="P7" s="2" t="s">
        <v>231</v>
      </c>
    </row>
    <row r="8" spans="1:16" ht="30" customHeight="1" x14ac:dyDescent="0.25">
      <c r="A8" s="12"/>
      <c r="B8" s="13"/>
      <c r="C8" s="7"/>
      <c r="D8" s="13"/>
      <c r="E8" s="2"/>
      <c r="F8" s="2"/>
      <c r="G8" s="14"/>
      <c r="H8" s="14" t="str">
        <f t="shared" si="0"/>
        <v/>
      </c>
      <c r="I8" s="14" t="str">
        <f t="shared" si="1"/>
        <v/>
      </c>
      <c r="J8" s="15" t="str">
        <f>IFERROR(INDEX('Categorías y Tasas'!$D$5:$D$36,MATCH(F8,'Categorías y Tasas'!$H$5:$H$36,0)),"")</f>
        <v/>
      </c>
      <c r="K8" s="14" t="str">
        <f>IF(OR(F8="",J8=""),"",IF(I8&gt;IFERROR(INDEX('Categorías y Tasas'!$I$5:$I$36,MATCH(F8,'Categorías y Tasas'!$H$5:$H$36,0)),0),ROUND(I8*J8,2),0))</f>
        <v/>
      </c>
      <c r="L8" s="12"/>
      <c r="M8" s="13" t="str">
        <f>IFERROR(INDEX('Categorías y Tasas'!$F$5:$F$36,MATCH(F8,'Categorías y Tasas'!$H$5:$H$36,0)),"")</f>
        <v/>
      </c>
      <c r="N8" s="7"/>
      <c r="O8" s="13"/>
      <c r="P8" s="2"/>
    </row>
    <row r="9" spans="1:16" ht="30" customHeight="1" x14ac:dyDescent="0.25">
      <c r="A9" s="12"/>
      <c r="B9" s="13"/>
      <c r="C9" s="7"/>
      <c r="D9" s="13"/>
      <c r="E9" s="2"/>
      <c r="F9" s="2"/>
      <c r="G9" s="14"/>
      <c r="H9" s="14" t="str">
        <f t="shared" si="0"/>
        <v/>
      </c>
      <c r="I9" s="14" t="str">
        <f t="shared" si="1"/>
        <v/>
      </c>
      <c r="J9" s="15" t="str">
        <f>IFERROR(INDEX('Categorías y Tasas'!$D$5:$D$36,MATCH(F9,'Categorías y Tasas'!$H$5:$H$36,0)),"")</f>
        <v/>
      </c>
      <c r="K9" s="14" t="str">
        <f>IF(OR(F9="",J9=""),"",IF(I9&gt;IFERROR(INDEX('Categorías y Tasas'!$I$5:$I$36,MATCH(F9,'Categorías y Tasas'!$H$5:$H$36,0)),0),ROUND(I9*J9,2),0))</f>
        <v/>
      </c>
      <c r="L9" s="12"/>
      <c r="M9" s="13" t="str">
        <f>IFERROR(INDEX('Categorías y Tasas'!$F$5:$F$36,MATCH(F9,'Categorías y Tasas'!$H$5:$H$36,0)),"")</f>
        <v/>
      </c>
      <c r="N9" s="7"/>
      <c r="O9" s="13"/>
      <c r="P9" s="2"/>
    </row>
    <row r="10" spans="1:16" ht="30" customHeight="1" x14ac:dyDescent="0.25">
      <c r="A10" s="12"/>
      <c r="B10" s="13"/>
      <c r="C10" s="7"/>
      <c r="D10" s="13"/>
      <c r="E10" s="2"/>
      <c r="F10" s="2"/>
      <c r="G10" s="14"/>
      <c r="H10" s="14" t="str">
        <f t="shared" si="0"/>
        <v/>
      </c>
      <c r="I10" s="14" t="str">
        <f t="shared" si="1"/>
        <v/>
      </c>
      <c r="J10" s="15" t="str">
        <f>IFERROR(INDEX('Categorías y Tasas'!$D$5:$D$36,MATCH(F10,'Categorías y Tasas'!$H$5:$H$36,0)),"")</f>
        <v/>
      </c>
      <c r="K10" s="14" t="str">
        <f>IF(OR(F10="",J10=""),"",IF(I10&gt;IFERROR(INDEX('Categorías y Tasas'!$I$5:$I$36,MATCH(F10,'Categorías y Tasas'!$H$5:$H$36,0)),0),ROUND(I10*J10,2),0))</f>
        <v/>
      </c>
      <c r="L10" s="12"/>
      <c r="M10" s="13" t="str">
        <f>IFERROR(INDEX('Categorías y Tasas'!$F$5:$F$36,MATCH(F10,'Categorías y Tasas'!$H$5:$H$36,0)),"")</f>
        <v/>
      </c>
      <c r="N10" s="7"/>
      <c r="O10" s="13"/>
      <c r="P10" s="2"/>
    </row>
    <row r="11" spans="1:16" ht="30" customHeight="1" x14ac:dyDescent="0.25">
      <c r="A11" s="12"/>
      <c r="B11" s="13"/>
      <c r="C11" s="7"/>
      <c r="D11" s="13"/>
      <c r="E11" s="2"/>
      <c r="F11" s="2"/>
      <c r="G11" s="14"/>
      <c r="H11" s="14" t="str">
        <f t="shared" si="0"/>
        <v/>
      </c>
      <c r="I11" s="14" t="str">
        <f t="shared" si="1"/>
        <v/>
      </c>
      <c r="J11" s="15" t="str">
        <f>IFERROR(INDEX('Categorías y Tasas'!$D$5:$D$36,MATCH(F11,'Categorías y Tasas'!$H$5:$H$36,0)),"")</f>
        <v/>
      </c>
      <c r="K11" s="14" t="str">
        <f>IF(OR(F11="",J11=""),"",IF(I11&gt;IFERROR(INDEX('Categorías y Tasas'!$I$5:$I$36,MATCH(F11,'Categorías y Tasas'!$H$5:$H$36,0)),0),ROUND(I11*J11,2),0))</f>
        <v/>
      </c>
      <c r="L11" s="12"/>
      <c r="M11" s="13" t="str">
        <f>IFERROR(INDEX('Categorías y Tasas'!$F$5:$F$36,MATCH(F11,'Categorías y Tasas'!$H$5:$H$36,0)),"")</f>
        <v/>
      </c>
      <c r="N11" s="7"/>
      <c r="O11" s="13"/>
      <c r="P11" s="2"/>
    </row>
    <row r="12" spans="1:16" ht="30" customHeight="1" x14ac:dyDescent="0.25">
      <c r="A12" s="12"/>
      <c r="B12" s="13"/>
      <c r="C12" s="7"/>
      <c r="D12" s="13"/>
      <c r="E12" s="2"/>
      <c r="F12" s="2"/>
      <c r="G12" s="14"/>
      <c r="H12" s="14" t="str">
        <f t="shared" si="0"/>
        <v/>
      </c>
      <c r="I12" s="14" t="str">
        <f t="shared" si="1"/>
        <v/>
      </c>
      <c r="J12" s="15" t="str">
        <f>IFERROR(INDEX('Categorías y Tasas'!$D$5:$D$36,MATCH(F12,'Categorías y Tasas'!$H$5:$H$36,0)),"")</f>
        <v/>
      </c>
      <c r="K12" s="14" t="str">
        <f>IF(OR(F12="",J12=""),"",IF(I12&gt;IFERROR(INDEX('Categorías y Tasas'!$I$5:$I$36,MATCH(F12,'Categorías y Tasas'!$H$5:$H$36,0)),0),ROUND(I12*J12,2),0))</f>
        <v/>
      </c>
      <c r="L12" s="12"/>
      <c r="M12" s="13" t="str">
        <f>IFERROR(INDEX('Categorías y Tasas'!$F$5:$F$36,MATCH(F12,'Categorías y Tasas'!$H$5:$H$36,0)),"")</f>
        <v/>
      </c>
      <c r="N12" s="7"/>
      <c r="O12" s="13"/>
      <c r="P12" s="2"/>
    </row>
    <row r="13" spans="1:16" ht="30" customHeight="1" x14ac:dyDescent="0.25">
      <c r="A13" s="12"/>
      <c r="B13" s="13"/>
      <c r="C13" s="7"/>
      <c r="D13" s="13"/>
      <c r="E13" s="2"/>
      <c r="F13" s="2"/>
      <c r="G13" s="14"/>
      <c r="H13" s="14" t="str">
        <f t="shared" si="0"/>
        <v/>
      </c>
      <c r="I13" s="14" t="str">
        <f t="shared" si="1"/>
        <v/>
      </c>
      <c r="J13" s="15" t="str">
        <f>IFERROR(INDEX('Categorías y Tasas'!$D$5:$D$36,MATCH(F13,'Categorías y Tasas'!$H$5:$H$36,0)),"")</f>
        <v/>
      </c>
      <c r="K13" s="14" t="str">
        <f>IF(OR(F13="",J13=""),"",IF(I13&gt;IFERROR(INDEX('Categorías y Tasas'!$I$5:$I$36,MATCH(F13,'Categorías y Tasas'!$H$5:$H$36,0)),0),ROUND(I13*J13,2),0))</f>
        <v/>
      </c>
      <c r="L13" s="12"/>
      <c r="M13" s="13" t="str">
        <f>IFERROR(INDEX('Categorías y Tasas'!$F$5:$F$36,MATCH(F13,'Categorías y Tasas'!$H$5:$H$36,0)),"")</f>
        <v/>
      </c>
      <c r="N13" s="7"/>
      <c r="O13" s="13"/>
      <c r="P13" s="2"/>
    </row>
    <row r="14" spans="1:16" ht="30" customHeight="1" x14ac:dyDescent="0.25">
      <c r="A14" s="12"/>
      <c r="B14" s="13"/>
      <c r="C14" s="7"/>
      <c r="D14" s="13"/>
      <c r="E14" s="2"/>
      <c r="F14" s="2"/>
      <c r="G14" s="14"/>
      <c r="H14" s="14" t="str">
        <f t="shared" si="0"/>
        <v/>
      </c>
      <c r="I14" s="14" t="str">
        <f t="shared" si="1"/>
        <v/>
      </c>
      <c r="J14" s="15" t="str">
        <f>IFERROR(INDEX('Categorías y Tasas'!$D$5:$D$36,MATCH(F14,'Categorías y Tasas'!$H$5:$H$36,0)),"")</f>
        <v/>
      </c>
      <c r="K14" s="14" t="str">
        <f>IF(OR(F14="",J14=""),"",IF(I14&gt;IFERROR(INDEX('Categorías y Tasas'!$I$5:$I$36,MATCH(F14,'Categorías y Tasas'!$H$5:$H$36,0)),0),ROUND(I14*J14,2),0))</f>
        <v/>
      </c>
      <c r="L14" s="12"/>
      <c r="M14" s="13" t="str">
        <f>IFERROR(INDEX('Categorías y Tasas'!$F$5:$F$36,MATCH(F14,'Categorías y Tasas'!$H$5:$H$36,0)),"")</f>
        <v/>
      </c>
      <c r="N14" s="7"/>
      <c r="O14" s="13"/>
      <c r="P14" s="2"/>
    </row>
    <row r="15" spans="1:16" ht="30" customHeight="1" x14ac:dyDescent="0.25">
      <c r="A15" s="12"/>
      <c r="B15" s="13"/>
      <c r="C15" s="7"/>
      <c r="D15" s="13"/>
      <c r="E15" s="2"/>
      <c r="F15" s="2"/>
      <c r="G15" s="14"/>
      <c r="H15" s="14" t="str">
        <f t="shared" si="0"/>
        <v/>
      </c>
      <c r="I15" s="14" t="str">
        <f t="shared" si="1"/>
        <v/>
      </c>
      <c r="J15" s="15" t="str">
        <f>IFERROR(INDEX('Categorías y Tasas'!$D$5:$D$36,MATCH(F15,'Categorías y Tasas'!$H$5:$H$36,0)),"")</f>
        <v/>
      </c>
      <c r="K15" s="14" t="str">
        <f>IF(OR(F15="",J15=""),"",IF(I15&gt;IFERROR(INDEX('Categorías y Tasas'!$I$5:$I$36,MATCH(F15,'Categorías y Tasas'!$H$5:$H$36,0)),0),ROUND(I15*J15,2),0))</f>
        <v/>
      </c>
      <c r="L15" s="12"/>
      <c r="M15" s="13" t="str">
        <f>IFERROR(INDEX('Categorías y Tasas'!$F$5:$F$36,MATCH(F15,'Categorías y Tasas'!$H$5:$H$36,0)),"")</f>
        <v/>
      </c>
      <c r="N15" s="7"/>
      <c r="O15" s="13"/>
      <c r="P15" s="2"/>
    </row>
    <row r="16" spans="1:16" ht="30" customHeight="1" x14ac:dyDescent="0.25">
      <c r="A16" s="12"/>
      <c r="B16" s="13"/>
      <c r="C16" s="7"/>
      <c r="D16" s="13"/>
      <c r="E16" s="2"/>
      <c r="F16" s="2"/>
      <c r="G16" s="14"/>
      <c r="H16" s="14" t="str">
        <f t="shared" si="0"/>
        <v/>
      </c>
      <c r="I16" s="14" t="str">
        <f t="shared" si="1"/>
        <v/>
      </c>
      <c r="J16" s="15" t="str">
        <f>IFERROR(INDEX('Categorías y Tasas'!$D$5:$D$36,MATCH(F16,'Categorías y Tasas'!$H$5:$H$36,0)),"")</f>
        <v/>
      </c>
      <c r="K16" s="14" t="str">
        <f>IF(OR(F16="",J16=""),"",IF(I16&gt;IFERROR(INDEX('Categorías y Tasas'!$I$5:$I$36,MATCH(F16,'Categorías y Tasas'!$H$5:$H$36,0)),0),ROUND(I16*J16,2),0))</f>
        <v/>
      </c>
      <c r="L16" s="12"/>
      <c r="M16" s="13" t="str">
        <f>IFERROR(INDEX('Categorías y Tasas'!$F$5:$F$36,MATCH(F16,'Categorías y Tasas'!$H$5:$H$36,0)),"")</f>
        <v/>
      </c>
      <c r="N16" s="7"/>
      <c r="O16" s="13"/>
      <c r="P16" s="2"/>
    </row>
    <row r="17" spans="1:16" ht="30" customHeight="1" x14ac:dyDescent="0.25">
      <c r="A17" s="12"/>
      <c r="B17" s="13"/>
      <c r="C17" s="7"/>
      <c r="D17" s="13"/>
      <c r="E17" s="2"/>
      <c r="F17" s="2"/>
      <c r="G17" s="14"/>
      <c r="H17" s="14" t="str">
        <f t="shared" si="0"/>
        <v/>
      </c>
      <c r="I17" s="14" t="str">
        <f t="shared" si="1"/>
        <v/>
      </c>
      <c r="J17" s="15" t="str">
        <f>IFERROR(INDEX('Categorías y Tasas'!$D$5:$D$36,MATCH(F17,'Categorías y Tasas'!$H$5:$H$36,0)),"")</f>
        <v/>
      </c>
      <c r="K17" s="14" t="str">
        <f>IF(OR(F17="",J17=""),"",IF(I17&gt;IFERROR(INDEX('Categorías y Tasas'!$I$5:$I$36,MATCH(F17,'Categorías y Tasas'!$H$5:$H$36,0)),0),ROUND(I17*J17,2),0))</f>
        <v/>
      </c>
      <c r="L17" s="12"/>
      <c r="M17" s="13" t="str">
        <f>IFERROR(INDEX('Categorías y Tasas'!$F$5:$F$36,MATCH(F17,'Categorías y Tasas'!$H$5:$H$36,0)),"")</f>
        <v/>
      </c>
      <c r="N17" s="7"/>
      <c r="O17" s="13"/>
      <c r="P17" s="2"/>
    </row>
    <row r="18" spans="1:16" ht="30" customHeight="1" x14ac:dyDescent="0.25">
      <c r="A18" s="12"/>
      <c r="B18" s="13"/>
      <c r="C18" s="7"/>
      <c r="D18" s="13"/>
      <c r="E18" s="2"/>
      <c r="F18" s="2"/>
      <c r="G18" s="14"/>
      <c r="H18" s="14" t="str">
        <f t="shared" si="0"/>
        <v/>
      </c>
      <c r="I18" s="14" t="str">
        <f t="shared" si="1"/>
        <v/>
      </c>
      <c r="J18" s="15" t="str">
        <f>IFERROR(INDEX('Categorías y Tasas'!$D$5:$D$36,MATCH(F18,'Categorías y Tasas'!$H$5:$H$36,0)),"")</f>
        <v/>
      </c>
      <c r="K18" s="14" t="str">
        <f>IF(OR(F18="",J18=""),"",IF(I18&gt;IFERROR(INDEX('Categorías y Tasas'!$I$5:$I$36,MATCH(F18,'Categorías y Tasas'!$H$5:$H$36,0)),0),ROUND(I18*J18,2),0))</f>
        <v/>
      </c>
      <c r="L18" s="12"/>
      <c r="M18" s="13" t="str">
        <f>IFERROR(INDEX('Categorías y Tasas'!$F$5:$F$36,MATCH(F18,'Categorías y Tasas'!$H$5:$H$36,0)),"")</f>
        <v/>
      </c>
      <c r="N18" s="7"/>
      <c r="O18" s="13"/>
      <c r="P18" s="2"/>
    </row>
    <row r="19" spans="1:16" ht="30" customHeight="1" x14ac:dyDescent="0.25">
      <c r="A19" s="12"/>
      <c r="B19" s="13"/>
      <c r="C19" s="7"/>
      <c r="D19" s="13"/>
      <c r="E19" s="2"/>
      <c r="F19" s="2"/>
      <c r="G19" s="14"/>
      <c r="H19" s="14" t="str">
        <f t="shared" si="0"/>
        <v/>
      </c>
      <c r="I19" s="14" t="str">
        <f t="shared" si="1"/>
        <v/>
      </c>
      <c r="J19" s="15" t="str">
        <f>IFERROR(INDEX('Categorías y Tasas'!$D$5:$D$36,MATCH(F19,'Categorías y Tasas'!$H$5:$H$36,0)),"")</f>
        <v/>
      </c>
      <c r="K19" s="14" t="str">
        <f>IF(OR(F19="",J19=""),"",IF(I19&gt;IFERROR(INDEX('Categorías y Tasas'!$I$5:$I$36,MATCH(F19,'Categorías y Tasas'!$H$5:$H$36,0)),0),ROUND(I19*J19,2),0))</f>
        <v/>
      </c>
      <c r="L19" s="12"/>
      <c r="M19" s="13" t="str">
        <f>IFERROR(INDEX('Categorías y Tasas'!$F$5:$F$36,MATCH(F19,'Categorías y Tasas'!$H$5:$H$36,0)),"")</f>
        <v/>
      </c>
      <c r="N19" s="7"/>
      <c r="O19" s="13"/>
      <c r="P19" s="2"/>
    </row>
    <row r="20" spans="1:16" ht="30" customHeight="1" x14ac:dyDescent="0.25">
      <c r="A20" s="12"/>
      <c r="B20" s="13"/>
      <c r="C20" s="7"/>
      <c r="D20" s="13"/>
      <c r="E20" s="2"/>
      <c r="F20" s="2"/>
      <c r="G20" s="14"/>
      <c r="H20" s="14" t="str">
        <f t="shared" si="0"/>
        <v/>
      </c>
      <c r="I20" s="14" t="str">
        <f t="shared" si="1"/>
        <v/>
      </c>
      <c r="J20" s="15" t="str">
        <f>IFERROR(INDEX('Categorías y Tasas'!$D$5:$D$36,MATCH(F20,'Categorías y Tasas'!$H$5:$H$36,0)),"")</f>
        <v/>
      </c>
      <c r="K20" s="14" t="str">
        <f>IF(OR(F20="",J20=""),"",IF(I20&gt;IFERROR(INDEX('Categorías y Tasas'!$I$5:$I$36,MATCH(F20,'Categorías y Tasas'!$H$5:$H$36,0)),0),ROUND(I20*J20,2),0))</f>
        <v/>
      </c>
      <c r="L20" s="12"/>
      <c r="M20" s="13" t="str">
        <f>IFERROR(INDEX('Categorías y Tasas'!$F$5:$F$36,MATCH(F20,'Categorías y Tasas'!$H$5:$H$36,0)),"")</f>
        <v/>
      </c>
      <c r="N20" s="7"/>
      <c r="O20" s="13"/>
      <c r="P20" s="2"/>
    </row>
    <row r="21" spans="1:16" ht="30" customHeight="1" x14ac:dyDescent="0.25">
      <c r="A21" s="12"/>
      <c r="B21" s="13"/>
      <c r="C21" s="7"/>
      <c r="D21" s="13"/>
      <c r="E21" s="2"/>
      <c r="F21" s="2"/>
      <c r="G21" s="14"/>
      <c r="H21" s="14" t="str">
        <f t="shared" si="0"/>
        <v/>
      </c>
      <c r="I21" s="14" t="str">
        <f t="shared" si="1"/>
        <v/>
      </c>
      <c r="J21" s="15" t="str">
        <f>IFERROR(INDEX('Categorías y Tasas'!$D$5:$D$36,MATCH(F21,'Categorías y Tasas'!$H$5:$H$36,0)),"")</f>
        <v/>
      </c>
      <c r="K21" s="14" t="str">
        <f>IF(OR(F21="",J21=""),"",IF(I21&gt;IFERROR(INDEX('Categorías y Tasas'!$I$5:$I$36,MATCH(F21,'Categorías y Tasas'!$H$5:$H$36,0)),0),ROUND(I21*J21,2),0))</f>
        <v/>
      </c>
      <c r="L21" s="12"/>
      <c r="M21" s="13" t="str">
        <f>IFERROR(INDEX('Categorías y Tasas'!$F$5:$F$36,MATCH(F21,'Categorías y Tasas'!$H$5:$H$36,0)),"")</f>
        <v/>
      </c>
      <c r="N21" s="7"/>
      <c r="O21" s="13"/>
      <c r="P21" s="2"/>
    </row>
    <row r="22" spans="1:16" ht="30" customHeight="1" x14ac:dyDescent="0.25">
      <c r="A22" s="12"/>
      <c r="B22" s="13"/>
      <c r="C22" s="7"/>
      <c r="D22" s="13"/>
      <c r="E22" s="2"/>
      <c r="F22" s="2"/>
      <c r="G22" s="14"/>
      <c r="H22" s="14" t="str">
        <f t="shared" si="0"/>
        <v/>
      </c>
      <c r="I22" s="14" t="str">
        <f t="shared" si="1"/>
        <v/>
      </c>
      <c r="J22" s="15" t="str">
        <f>IFERROR(INDEX('Categorías y Tasas'!$D$5:$D$36,MATCH(F22,'Categorías y Tasas'!$H$5:$H$36,0)),"")</f>
        <v/>
      </c>
      <c r="K22" s="14" t="str">
        <f>IF(OR(F22="",J22=""),"",IF(I22&gt;IFERROR(INDEX('Categorías y Tasas'!$I$5:$I$36,MATCH(F22,'Categorías y Tasas'!$H$5:$H$36,0)),0),ROUND(I22*J22,2),0))</f>
        <v/>
      </c>
      <c r="L22" s="12"/>
      <c r="M22" s="13" t="str">
        <f>IFERROR(INDEX('Categorías y Tasas'!$F$5:$F$36,MATCH(F22,'Categorías y Tasas'!$H$5:$H$36,0)),"")</f>
        <v/>
      </c>
      <c r="N22" s="7"/>
      <c r="O22" s="13"/>
      <c r="P22" s="2"/>
    </row>
    <row r="23" spans="1:16" ht="30" customHeight="1" x14ac:dyDescent="0.25">
      <c r="A23" s="12"/>
      <c r="B23" s="13"/>
      <c r="C23" s="7"/>
      <c r="D23" s="13"/>
      <c r="E23" s="2"/>
      <c r="F23" s="2"/>
      <c r="G23" s="14"/>
      <c r="H23" s="14" t="str">
        <f t="shared" si="0"/>
        <v/>
      </c>
      <c r="I23" s="14" t="str">
        <f t="shared" si="1"/>
        <v/>
      </c>
      <c r="J23" s="15" t="str">
        <f>IFERROR(INDEX('Categorías y Tasas'!$D$5:$D$36,MATCH(F23,'Categorías y Tasas'!$H$5:$H$36,0)),"")</f>
        <v/>
      </c>
      <c r="K23" s="14" t="str">
        <f>IF(OR(F23="",J23=""),"",IF(I23&gt;IFERROR(INDEX('Categorías y Tasas'!$I$5:$I$36,MATCH(F23,'Categorías y Tasas'!$H$5:$H$36,0)),0),ROUND(I23*J23,2),0))</f>
        <v/>
      </c>
      <c r="L23" s="12"/>
      <c r="M23" s="13" t="str">
        <f>IFERROR(INDEX('Categorías y Tasas'!$F$5:$F$36,MATCH(F23,'Categorías y Tasas'!$H$5:$H$36,0)),"")</f>
        <v/>
      </c>
      <c r="N23" s="7"/>
      <c r="O23" s="13"/>
      <c r="P23" s="2"/>
    </row>
    <row r="24" spans="1:16" ht="30" customHeight="1" x14ac:dyDescent="0.25">
      <c r="A24" s="12"/>
      <c r="B24" s="13"/>
      <c r="C24" s="7"/>
      <c r="D24" s="13"/>
      <c r="E24" s="2"/>
      <c r="F24" s="2"/>
      <c r="G24" s="14"/>
      <c r="H24" s="14" t="str">
        <f t="shared" si="0"/>
        <v/>
      </c>
      <c r="I24" s="14" t="str">
        <f t="shared" si="1"/>
        <v/>
      </c>
      <c r="J24" s="15" t="str">
        <f>IFERROR(INDEX('Categorías y Tasas'!$D$5:$D$36,MATCH(F24,'Categorías y Tasas'!$H$5:$H$36,0)),"")</f>
        <v/>
      </c>
      <c r="K24" s="14" t="str">
        <f>IF(OR(F24="",J24=""),"",IF(I24&gt;IFERROR(INDEX('Categorías y Tasas'!$I$5:$I$36,MATCH(F24,'Categorías y Tasas'!$H$5:$H$36,0)),0),ROUND(I24*J24,2),0))</f>
        <v/>
      </c>
      <c r="L24" s="12"/>
      <c r="M24" s="13" t="str">
        <f>IFERROR(INDEX('Categorías y Tasas'!$F$5:$F$36,MATCH(F24,'Categorías y Tasas'!$H$5:$H$36,0)),"")</f>
        <v/>
      </c>
      <c r="N24" s="7"/>
      <c r="O24" s="13"/>
      <c r="P24" s="2"/>
    </row>
    <row r="25" spans="1:16" ht="30" customHeight="1" x14ac:dyDescent="0.25">
      <c r="A25" s="12"/>
      <c r="B25" s="13"/>
      <c r="C25" s="7"/>
      <c r="D25" s="13"/>
      <c r="E25" s="2"/>
      <c r="F25" s="2"/>
      <c r="G25" s="14"/>
      <c r="H25" s="14" t="str">
        <f t="shared" si="0"/>
        <v/>
      </c>
      <c r="I25" s="14" t="str">
        <f t="shared" si="1"/>
        <v/>
      </c>
      <c r="J25" s="15" t="str">
        <f>IFERROR(INDEX('Categorías y Tasas'!$D$5:$D$36,MATCH(F25,'Categorías y Tasas'!$H$5:$H$36,0)),"")</f>
        <v/>
      </c>
      <c r="K25" s="14" t="str">
        <f>IF(OR(F25="",J25=""),"",IF(I25&gt;IFERROR(INDEX('Categorías y Tasas'!$I$5:$I$36,MATCH(F25,'Categorías y Tasas'!$H$5:$H$36,0)),0),ROUND(I25*J25,2),0))</f>
        <v/>
      </c>
      <c r="L25" s="12"/>
      <c r="M25" s="13" t="str">
        <f>IFERROR(INDEX('Categorías y Tasas'!$F$5:$F$36,MATCH(F25,'Categorías y Tasas'!$H$5:$H$36,0)),"")</f>
        <v/>
      </c>
      <c r="N25" s="7"/>
      <c r="O25" s="13"/>
      <c r="P25" s="2"/>
    </row>
    <row r="26" spans="1:16" ht="30" customHeight="1" x14ac:dyDescent="0.25">
      <c r="A26" s="12"/>
      <c r="B26" s="13"/>
      <c r="C26" s="7"/>
      <c r="D26" s="13"/>
      <c r="E26" s="2"/>
      <c r="F26" s="2"/>
      <c r="G26" s="14"/>
      <c r="H26" s="14" t="str">
        <f t="shared" si="0"/>
        <v/>
      </c>
      <c r="I26" s="14" t="str">
        <f t="shared" si="1"/>
        <v/>
      </c>
      <c r="J26" s="15" t="str">
        <f>IFERROR(INDEX('Categorías y Tasas'!$D$5:$D$36,MATCH(F26,'Categorías y Tasas'!$H$5:$H$36,0)),"")</f>
        <v/>
      </c>
      <c r="K26" s="14" t="str">
        <f>IF(OR(F26="",J26=""),"",IF(I26&gt;IFERROR(INDEX('Categorías y Tasas'!$I$5:$I$36,MATCH(F26,'Categorías y Tasas'!$H$5:$H$36,0)),0),ROUND(I26*J26,2),0))</f>
        <v/>
      </c>
      <c r="L26" s="12"/>
      <c r="M26" s="13" t="str">
        <f>IFERROR(INDEX('Categorías y Tasas'!$F$5:$F$36,MATCH(F26,'Categorías y Tasas'!$H$5:$H$36,0)),"")</f>
        <v/>
      </c>
      <c r="N26" s="7"/>
      <c r="O26" s="13"/>
      <c r="P26" s="2"/>
    </row>
    <row r="27" spans="1:16" ht="30" customHeight="1" x14ac:dyDescent="0.25">
      <c r="A27" s="12"/>
      <c r="B27" s="13"/>
      <c r="C27" s="7"/>
      <c r="D27" s="13"/>
      <c r="E27" s="2"/>
      <c r="F27" s="2"/>
      <c r="G27" s="14"/>
      <c r="H27" s="14" t="str">
        <f t="shared" si="0"/>
        <v/>
      </c>
      <c r="I27" s="14" t="str">
        <f t="shared" si="1"/>
        <v/>
      </c>
      <c r="J27" s="15" t="str">
        <f>IFERROR(INDEX('Categorías y Tasas'!$D$5:$D$36,MATCH(F27,'Categorías y Tasas'!$H$5:$H$36,0)),"")</f>
        <v/>
      </c>
      <c r="K27" s="14" t="str">
        <f>IF(OR(F27="",J27=""),"",IF(I27&gt;IFERROR(INDEX('Categorías y Tasas'!$I$5:$I$36,MATCH(F27,'Categorías y Tasas'!$H$5:$H$36,0)),0),ROUND(I27*J27,2),0))</f>
        <v/>
      </c>
      <c r="L27" s="12"/>
      <c r="M27" s="13" t="str">
        <f>IFERROR(INDEX('Categorías y Tasas'!$F$5:$F$36,MATCH(F27,'Categorías y Tasas'!$H$5:$H$36,0)),"")</f>
        <v/>
      </c>
      <c r="N27" s="7"/>
      <c r="O27" s="13"/>
      <c r="P27" s="2"/>
    </row>
    <row r="28" spans="1:16" ht="30" customHeight="1" x14ac:dyDescent="0.25">
      <c r="A28" s="12"/>
      <c r="B28" s="13"/>
      <c r="C28" s="7"/>
      <c r="D28" s="13"/>
      <c r="E28" s="2"/>
      <c r="F28" s="2"/>
      <c r="G28" s="14"/>
      <c r="H28" s="14" t="str">
        <f t="shared" si="0"/>
        <v/>
      </c>
      <c r="I28" s="14" t="str">
        <f t="shared" si="1"/>
        <v/>
      </c>
      <c r="J28" s="15" t="str">
        <f>IFERROR(INDEX('Categorías y Tasas'!$D$5:$D$36,MATCH(F28,'Categorías y Tasas'!$H$5:$H$36,0)),"")</f>
        <v/>
      </c>
      <c r="K28" s="14" t="str">
        <f>IF(OR(F28="",J28=""),"",IF(I28&gt;IFERROR(INDEX('Categorías y Tasas'!$I$5:$I$36,MATCH(F28,'Categorías y Tasas'!$H$5:$H$36,0)),0),ROUND(I28*J28,2),0))</f>
        <v/>
      </c>
      <c r="L28" s="12"/>
      <c r="M28" s="13" t="str">
        <f>IFERROR(INDEX('Categorías y Tasas'!$F$5:$F$36,MATCH(F28,'Categorías y Tasas'!$H$5:$H$36,0)),"")</f>
        <v/>
      </c>
      <c r="N28" s="7"/>
      <c r="O28" s="13"/>
      <c r="P28" s="2"/>
    </row>
    <row r="29" spans="1:16" ht="30" customHeight="1" x14ac:dyDescent="0.25">
      <c r="A29" s="12"/>
      <c r="B29" s="13"/>
      <c r="C29" s="7"/>
      <c r="D29" s="13"/>
      <c r="E29" s="2"/>
      <c r="F29" s="2"/>
      <c r="G29" s="14"/>
      <c r="H29" s="14" t="str">
        <f t="shared" si="0"/>
        <v/>
      </c>
      <c r="I29" s="14" t="str">
        <f t="shared" si="1"/>
        <v/>
      </c>
      <c r="J29" s="15" t="str">
        <f>IFERROR(INDEX('Categorías y Tasas'!$D$5:$D$36,MATCH(F29,'Categorías y Tasas'!$H$5:$H$36,0)),"")</f>
        <v/>
      </c>
      <c r="K29" s="14" t="str">
        <f>IF(OR(F29="",J29=""),"",IF(I29&gt;IFERROR(INDEX('Categorías y Tasas'!$I$5:$I$36,MATCH(F29,'Categorías y Tasas'!$H$5:$H$36,0)),0),ROUND(I29*J29,2),0))</f>
        <v/>
      </c>
      <c r="L29" s="12"/>
      <c r="M29" s="13" t="str">
        <f>IFERROR(INDEX('Categorías y Tasas'!$F$5:$F$36,MATCH(F29,'Categorías y Tasas'!$H$5:$H$36,0)),"")</f>
        <v/>
      </c>
      <c r="N29" s="7"/>
      <c r="O29" s="13"/>
      <c r="P29" s="2"/>
    </row>
    <row r="30" spans="1:16" ht="30" customHeight="1" x14ac:dyDescent="0.25">
      <c r="A30" s="12"/>
      <c r="B30" s="13"/>
      <c r="C30" s="7"/>
      <c r="D30" s="13"/>
      <c r="E30" s="2"/>
      <c r="F30" s="2"/>
      <c r="G30" s="14"/>
      <c r="H30" s="14" t="str">
        <f t="shared" si="0"/>
        <v/>
      </c>
      <c r="I30" s="14" t="str">
        <f t="shared" si="1"/>
        <v/>
      </c>
      <c r="J30" s="15" t="str">
        <f>IFERROR(INDEX('Categorías y Tasas'!$D$5:$D$36,MATCH(F30,'Categorías y Tasas'!$H$5:$H$36,0)),"")</f>
        <v/>
      </c>
      <c r="K30" s="14" t="str">
        <f>IF(OR(F30="",J30=""),"",IF(I30&gt;IFERROR(INDEX('Categorías y Tasas'!$I$5:$I$36,MATCH(F30,'Categorías y Tasas'!$H$5:$H$36,0)),0),ROUND(I30*J30,2),0))</f>
        <v/>
      </c>
      <c r="L30" s="12"/>
      <c r="M30" s="13" t="str">
        <f>IFERROR(INDEX('Categorías y Tasas'!$F$5:$F$36,MATCH(F30,'Categorías y Tasas'!$H$5:$H$36,0)),"")</f>
        <v/>
      </c>
      <c r="N30" s="7"/>
      <c r="O30" s="13"/>
      <c r="P30" s="2"/>
    </row>
    <row r="31" spans="1:16" ht="30" customHeight="1" x14ac:dyDescent="0.25">
      <c r="A31" s="12"/>
      <c r="B31" s="13"/>
      <c r="C31" s="7"/>
      <c r="D31" s="13"/>
      <c r="E31" s="2"/>
      <c r="F31" s="2"/>
      <c r="G31" s="14"/>
      <c r="H31" s="14" t="str">
        <f t="shared" si="0"/>
        <v/>
      </c>
      <c r="I31" s="14" t="str">
        <f t="shared" si="1"/>
        <v/>
      </c>
      <c r="J31" s="15" t="str">
        <f>IFERROR(INDEX('Categorías y Tasas'!$D$5:$D$36,MATCH(F31,'Categorías y Tasas'!$H$5:$H$36,0)),"")</f>
        <v/>
      </c>
      <c r="K31" s="14" t="str">
        <f>IF(OR(F31="",J31=""),"",IF(I31&gt;IFERROR(INDEX('Categorías y Tasas'!$I$5:$I$36,MATCH(F31,'Categorías y Tasas'!$H$5:$H$36,0)),0),ROUND(I31*J31,2),0))</f>
        <v/>
      </c>
      <c r="L31" s="12"/>
      <c r="M31" s="13" t="str">
        <f>IFERROR(INDEX('Categorías y Tasas'!$F$5:$F$36,MATCH(F31,'Categorías y Tasas'!$H$5:$H$36,0)),"")</f>
        <v/>
      </c>
      <c r="N31" s="7"/>
      <c r="O31" s="13"/>
      <c r="P31" s="2"/>
    </row>
    <row r="32" spans="1:16" ht="30" customHeight="1" x14ac:dyDescent="0.25">
      <c r="A32" s="12"/>
      <c r="B32" s="13"/>
      <c r="C32" s="7"/>
      <c r="D32" s="13"/>
      <c r="E32" s="2"/>
      <c r="F32" s="2"/>
      <c r="G32" s="14"/>
      <c r="H32" s="14" t="str">
        <f t="shared" si="0"/>
        <v/>
      </c>
      <c r="I32" s="14" t="str">
        <f t="shared" si="1"/>
        <v/>
      </c>
      <c r="J32" s="15" t="str">
        <f>IFERROR(INDEX('Categorías y Tasas'!$D$5:$D$36,MATCH(F32,'Categorías y Tasas'!$H$5:$H$36,0)),"")</f>
        <v/>
      </c>
      <c r="K32" s="14" t="str">
        <f>IF(OR(F32="",J32=""),"",IF(I32&gt;IFERROR(INDEX('Categorías y Tasas'!$I$5:$I$36,MATCH(F32,'Categorías y Tasas'!$H$5:$H$36,0)),0),ROUND(I32*J32,2),0))</f>
        <v/>
      </c>
      <c r="L32" s="12"/>
      <c r="M32" s="13" t="str">
        <f>IFERROR(INDEX('Categorías y Tasas'!$F$5:$F$36,MATCH(F32,'Categorías y Tasas'!$H$5:$H$36,0)),"")</f>
        <v/>
      </c>
      <c r="N32" s="7"/>
      <c r="O32" s="13"/>
      <c r="P32" s="2"/>
    </row>
    <row r="33" spans="1:16" ht="30" customHeight="1" x14ac:dyDescent="0.25">
      <c r="A33" s="12"/>
      <c r="B33" s="13"/>
      <c r="C33" s="7"/>
      <c r="D33" s="13"/>
      <c r="E33" s="2"/>
      <c r="F33" s="2"/>
      <c r="G33" s="14"/>
      <c r="H33" s="14" t="str">
        <f t="shared" si="0"/>
        <v/>
      </c>
      <c r="I33" s="14" t="str">
        <f t="shared" si="1"/>
        <v/>
      </c>
      <c r="J33" s="15" t="str">
        <f>IFERROR(INDEX('Categorías y Tasas'!$D$5:$D$36,MATCH(F33,'Categorías y Tasas'!$H$5:$H$36,0)),"")</f>
        <v/>
      </c>
      <c r="K33" s="14" t="str">
        <f>IF(OR(F33="",J33=""),"",IF(I33&gt;IFERROR(INDEX('Categorías y Tasas'!$I$5:$I$36,MATCH(F33,'Categorías y Tasas'!$H$5:$H$36,0)),0),ROUND(I33*J33,2),0))</f>
        <v/>
      </c>
      <c r="L33" s="12"/>
      <c r="M33" s="13" t="str">
        <f>IFERROR(INDEX('Categorías y Tasas'!$F$5:$F$36,MATCH(F33,'Categorías y Tasas'!$H$5:$H$36,0)),"")</f>
        <v/>
      </c>
      <c r="N33" s="7"/>
      <c r="O33" s="13"/>
      <c r="P33" s="2"/>
    </row>
    <row r="34" spans="1:16" ht="30" customHeight="1" x14ac:dyDescent="0.25">
      <c r="A34" s="12"/>
      <c r="B34" s="13"/>
      <c r="C34" s="7"/>
      <c r="D34" s="13"/>
      <c r="E34" s="2"/>
      <c r="F34" s="2"/>
      <c r="G34" s="14"/>
      <c r="H34" s="14" t="str">
        <f t="shared" si="0"/>
        <v/>
      </c>
      <c r="I34" s="14" t="str">
        <f t="shared" si="1"/>
        <v/>
      </c>
      <c r="J34" s="15" t="str">
        <f>IFERROR(INDEX('Categorías y Tasas'!$D$5:$D$36,MATCH(F34,'Categorías y Tasas'!$H$5:$H$36,0)),"")</f>
        <v/>
      </c>
      <c r="K34" s="14" t="str">
        <f>IF(OR(F34="",J34=""),"",IF(I34&gt;IFERROR(INDEX('Categorías y Tasas'!$I$5:$I$36,MATCH(F34,'Categorías y Tasas'!$H$5:$H$36,0)),0),ROUND(I34*J34,2),0))</f>
        <v/>
      </c>
      <c r="L34" s="12"/>
      <c r="M34" s="13" t="str">
        <f>IFERROR(INDEX('Categorías y Tasas'!$F$5:$F$36,MATCH(F34,'Categorías y Tasas'!$H$5:$H$36,0)),"")</f>
        <v/>
      </c>
      <c r="N34" s="7"/>
      <c r="O34" s="13"/>
      <c r="P34" s="2"/>
    </row>
    <row r="35" spans="1:16" ht="30" customHeight="1" x14ac:dyDescent="0.25">
      <c r="A35" s="12"/>
      <c r="B35" s="13"/>
      <c r="C35" s="7"/>
      <c r="D35" s="13"/>
      <c r="E35" s="2"/>
      <c r="F35" s="2"/>
      <c r="G35" s="14"/>
      <c r="H35" s="14" t="str">
        <f t="shared" si="0"/>
        <v/>
      </c>
      <c r="I35" s="14" t="str">
        <f t="shared" si="1"/>
        <v/>
      </c>
      <c r="J35" s="15" t="str">
        <f>IFERROR(INDEX('Categorías y Tasas'!$D$5:$D$36,MATCH(F35,'Categorías y Tasas'!$H$5:$H$36,0)),"")</f>
        <v/>
      </c>
      <c r="K35" s="14" t="str">
        <f>IF(OR(F35="",J35=""),"",IF(I35&gt;IFERROR(INDEX('Categorías y Tasas'!$I$5:$I$36,MATCH(F35,'Categorías y Tasas'!$H$5:$H$36,0)),0),ROUND(I35*J35,2),0))</f>
        <v/>
      </c>
      <c r="L35" s="12"/>
      <c r="M35" s="13" t="str">
        <f>IFERROR(INDEX('Categorías y Tasas'!$F$5:$F$36,MATCH(F35,'Categorías y Tasas'!$H$5:$H$36,0)),"")</f>
        <v/>
      </c>
      <c r="N35" s="7"/>
      <c r="O35" s="13"/>
      <c r="P35" s="2"/>
    </row>
    <row r="36" spans="1:16" ht="30" customHeight="1" x14ac:dyDescent="0.25">
      <c r="A36" s="12"/>
      <c r="B36" s="13"/>
      <c r="C36" s="7"/>
      <c r="D36" s="13"/>
      <c r="E36" s="2"/>
      <c r="F36" s="2"/>
      <c r="G36" s="14"/>
      <c r="H36" s="14" t="str">
        <f t="shared" si="0"/>
        <v/>
      </c>
      <c r="I36" s="14" t="str">
        <f t="shared" si="1"/>
        <v/>
      </c>
      <c r="J36" s="15" t="str">
        <f>IFERROR(INDEX('Categorías y Tasas'!$D$5:$D$36,MATCH(F36,'Categorías y Tasas'!$H$5:$H$36,0)),"")</f>
        <v/>
      </c>
      <c r="K36" s="14" t="str">
        <f>IF(OR(F36="",J36=""),"",IF(I36&gt;IFERROR(INDEX('Categorías y Tasas'!$I$5:$I$36,MATCH(F36,'Categorías y Tasas'!$H$5:$H$36,0)),0),ROUND(I36*J36,2),0))</f>
        <v/>
      </c>
      <c r="L36" s="12"/>
      <c r="M36" s="13" t="str">
        <f>IFERROR(INDEX('Categorías y Tasas'!$F$5:$F$36,MATCH(F36,'Categorías y Tasas'!$H$5:$H$36,0)),"")</f>
        <v/>
      </c>
      <c r="N36" s="7"/>
      <c r="O36" s="13"/>
      <c r="P36" s="2"/>
    </row>
    <row r="37" spans="1:16" ht="30" customHeight="1" x14ac:dyDescent="0.25">
      <c r="A37" s="12"/>
      <c r="B37" s="13"/>
      <c r="C37" s="7"/>
      <c r="D37" s="13"/>
      <c r="E37" s="2"/>
      <c r="F37" s="2"/>
      <c r="G37" s="14"/>
      <c r="H37" s="14" t="str">
        <f t="shared" ref="H37:H68" si="2">IF(G37="","",ROUND(G37*0.18,2))</f>
        <v/>
      </c>
      <c r="I37" s="14" t="str">
        <f t="shared" ref="I37:I68" si="3">IF(G37="","",G37+H37)</f>
        <v/>
      </c>
      <c r="J37" s="15" t="str">
        <f>IFERROR(INDEX('Categorías y Tasas'!$D$5:$D$36,MATCH(F37,'Categorías y Tasas'!$H$5:$H$36,0)),"")</f>
        <v/>
      </c>
      <c r="K37" s="14" t="str">
        <f>IF(OR(F37="",J37=""),"",IF(I37&gt;IFERROR(INDEX('Categorías y Tasas'!$I$5:$I$36,MATCH(F37,'Categorías y Tasas'!$H$5:$H$36,0)),0),ROUND(I37*J37,2),0))</f>
        <v/>
      </c>
      <c r="L37" s="12"/>
      <c r="M37" s="13" t="str">
        <f>IFERROR(INDEX('Categorías y Tasas'!$F$5:$F$36,MATCH(F37,'Categorías y Tasas'!$H$5:$H$36,0)),"")</f>
        <v/>
      </c>
      <c r="N37" s="7"/>
      <c r="O37" s="13"/>
      <c r="P37" s="2"/>
    </row>
    <row r="38" spans="1:16" ht="30" customHeight="1" x14ac:dyDescent="0.25">
      <c r="A38" s="12"/>
      <c r="B38" s="13"/>
      <c r="C38" s="7"/>
      <c r="D38" s="13"/>
      <c r="E38" s="2"/>
      <c r="F38" s="2"/>
      <c r="G38" s="14"/>
      <c r="H38" s="14" t="str">
        <f t="shared" si="2"/>
        <v/>
      </c>
      <c r="I38" s="14" t="str">
        <f t="shared" si="3"/>
        <v/>
      </c>
      <c r="J38" s="15" t="str">
        <f>IFERROR(INDEX('Categorías y Tasas'!$D$5:$D$36,MATCH(F38,'Categorías y Tasas'!$H$5:$H$36,0)),"")</f>
        <v/>
      </c>
      <c r="K38" s="14" t="str">
        <f>IF(OR(F38="",J38=""),"",IF(I38&gt;IFERROR(INDEX('Categorías y Tasas'!$I$5:$I$36,MATCH(F38,'Categorías y Tasas'!$H$5:$H$36,0)),0),ROUND(I38*J38,2),0))</f>
        <v/>
      </c>
      <c r="L38" s="12"/>
      <c r="M38" s="13" t="str">
        <f>IFERROR(INDEX('Categorías y Tasas'!$F$5:$F$36,MATCH(F38,'Categorías y Tasas'!$H$5:$H$36,0)),"")</f>
        <v/>
      </c>
      <c r="N38" s="7"/>
      <c r="O38" s="13"/>
      <c r="P38" s="2"/>
    </row>
    <row r="39" spans="1:16" ht="30" customHeight="1" x14ac:dyDescent="0.25">
      <c r="A39" s="12"/>
      <c r="B39" s="13"/>
      <c r="C39" s="7"/>
      <c r="D39" s="13"/>
      <c r="E39" s="2"/>
      <c r="F39" s="2"/>
      <c r="G39" s="14"/>
      <c r="H39" s="14" t="str">
        <f t="shared" si="2"/>
        <v/>
      </c>
      <c r="I39" s="14" t="str">
        <f t="shared" si="3"/>
        <v/>
      </c>
      <c r="J39" s="15" t="str">
        <f>IFERROR(INDEX('Categorías y Tasas'!$D$5:$D$36,MATCH(F39,'Categorías y Tasas'!$H$5:$H$36,0)),"")</f>
        <v/>
      </c>
      <c r="K39" s="14" t="str">
        <f>IF(OR(F39="",J39=""),"",IF(I39&gt;IFERROR(INDEX('Categorías y Tasas'!$I$5:$I$36,MATCH(F39,'Categorías y Tasas'!$H$5:$H$36,0)),0),ROUND(I39*J39,2),0))</f>
        <v/>
      </c>
      <c r="L39" s="12"/>
      <c r="M39" s="13" t="str">
        <f>IFERROR(INDEX('Categorías y Tasas'!$F$5:$F$36,MATCH(F39,'Categorías y Tasas'!$H$5:$H$36,0)),"")</f>
        <v/>
      </c>
      <c r="N39" s="7"/>
      <c r="O39" s="13"/>
      <c r="P39" s="2"/>
    </row>
    <row r="40" spans="1:16" ht="30" customHeight="1" x14ac:dyDescent="0.25">
      <c r="A40" s="12"/>
      <c r="B40" s="13"/>
      <c r="C40" s="7"/>
      <c r="D40" s="13"/>
      <c r="E40" s="2"/>
      <c r="F40" s="2"/>
      <c r="G40" s="14"/>
      <c r="H40" s="14" t="str">
        <f t="shared" si="2"/>
        <v/>
      </c>
      <c r="I40" s="14" t="str">
        <f t="shared" si="3"/>
        <v/>
      </c>
      <c r="J40" s="15" t="str">
        <f>IFERROR(INDEX('Categorías y Tasas'!$D$5:$D$36,MATCH(F40,'Categorías y Tasas'!$H$5:$H$36,0)),"")</f>
        <v/>
      </c>
      <c r="K40" s="14" t="str">
        <f>IF(OR(F40="",J40=""),"",IF(I40&gt;IFERROR(INDEX('Categorías y Tasas'!$I$5:$I$36,MATCH(F40,'Categorías y Tasas'!$H$5:$H$36,0)),0),ROUND(I40*J40,2),0))</f>
        <v/>
      </c>
      <c r="L40" s="12"/>
      <c r="M40" s="13" t="str">
        <f>IFERROR(INDEX('Categorías y Tasas'!$F$5:$F$36,MATCH(F40,'Categorías y Tasas'!$H$5:$H$36,0)),"")</f>
        <v/>
      </c>
      <c r="N40" s="7"/>
      <c r="O40" s="13"/>
      <c r="P40" s="2"/>
    </row>
    <row r="41" spans="1:16" ht="30" customHeight="1" x14ac:dyDescent="0.25">
      <c r="A41" s="12"/>
      <c r="B41" s="13"/>
      <c r="C41" s="7"/>
      <c r="D41" s="13"/>
      <c r="E41" s="2"/>
      <c r="F41" s="2"/>
      <c r="G41" s="14"/>
      <c r="H41" s="14" t="str">
        <f t="shared" si="2"/>
        <v/>
      </c>
      <c r="I41" s="14" t="str">
        <f t="shared" si="3"/>
        <v/>
      </c>
      <c r="J41" s="15" t="str">
        <f>IFERROR(INDEX('Categorías y Tasas'!$D$5:$D$36,MATCH(F41,'Categorías y Tasas'!$H$5:$H$36,0)),"")</f>
        <v/>
      </c>
      <c r="K41" s="14" t="str">
        <f>IF(OR(F41="",J41=""),"",IF(I41&gt;IFERROR(INDEX('Categorías y Tasas'!$I$5:$I$36,MATCH(F41,'Categorías y Tasas'!$H$5:$H$36,0)),0),ROUND(I41*J41,2),0))</f>
        <v/>
      </c>
      <c r="L41" s="12"/>
      <c r="M41" s="13" t="str">
        <f>IFERROR(INDEX('Categorías y Tasas'!$F$5:$F$36,MATCH(F41,'Categorías y Tasas'!$H$5:$H$36,0)),"")</f>
        <v/>
      </c>
      <c r="N41" s="7"/>
      <c r="O41" s="13"/>
      <c r="P41" s="2"/>
    </row>
    <row r="42" spans="1:16" ht="30" customHeight="1" x14ac:dyDescent="0.25">
      <c r="A42" s="12"/>
      <c r="B42" s="13"/>
      <c r="C42" s="7"/>
      <c r="D42" s="13"/>
      <c r="E42" s="2"/>
      <c r="F42" s="2"/>
      <c r="G42" s="14"/>
      <c r="H42" s="14" t="str">
        <f t="shared" si="2"/>
        <v/>
      </c>
      <c r="I42" s="14" t="str">
        <f t="shared" si="3"/>
        <v/>
      </c>
      <c r="J42" s="15" t="str">
        <f>IFERROR(INDEX('Categorías y Tasas'!$D$5:$D$36,MATCH(F42,'Categorías y Tasas'!$H$5:$H$36,0)),"")</f>
        <v/>
      </c>
      <c r="K42" s="14" t="str">
        <f>IF(OR(F42="",J42=""),"",IF(I42&gt;IFERROR(INDEX('Categorías y Tasas'!$I$5:$I$36,MATCH(F42,'Categorías y Tasas'!$H$5:$H$36,0)),0),ROUND(I42*J42,2),0))</f>
        <v/>
      </c>
      <c r="L42" s="12"/>
      <c r="M42" s="13" t="str">
        <f>IFERROR(INDEX('Categorías y Tasas'!$F$5:$F$36,MATCH(F42,'Categorías y Tasas'!$H$5:$H$36,0)),"")</f>
        <v/>
      </c>
      <c r="N42" s="7"/>
      <c r="O42" s="13"/>
      <c r="P42" s="2"/>
    </row>
    <row r="43" spans="1:16" ht="30" customHeight="1" x14ac:dyDescent="0.25">
      <c r="A43" s="12"/>
      <c r="B43" s="13"/>
      <c r="C43" s="7"/>
      <c r="D43" s="13"/>
      <c r="E43" s="2"/>
      <c r="F43" s="2"/>
      <c r="G43" s="14"/>
      <c r="H43" s="14" t="str">
        <f t="shared" si="2"/>
        <v/>
      </c>
      <c r="I43" s="14" t="str">
        <f t="shared" si="3"/>
        <v/>
      </c>
      <c r="J43" s="15" t="str">
        <f>IFERROR(INDEX('Categorías y Tasas'!$D$5:$D$36,MATCH(F43,'Categorías y Tasas'!$H$5:$H$36,0)),"")</f>
        <v/>
      </c>
      <c r="K43" s="14" t="str">
        <f>IF(OR(F43="",J43=""),"",IF(I43&gt;IFERROR(INDEX('Categorías y Tasas'!$I$5:$I$36,MATCH(F43,'Categorías y Tasas'!$H$5:$H$36,0)),0),ROUND(I43*J43,2),0))</f>
        <v/>
      </c>
      <c r="L43" s="12"/>
      <c r="M43" s="13" t="str">
        <f>IFERROR(INDEX('Categorías y Tasas'!$F$5:$F$36,MATCH(F43,'Categorías y Tasas'!$H$5:$H$36,0)),"")</f>
        <v/>
      </c>
      <c r="N43" s="7"/>
      <c r="O43" s="13"/>
      <c r="P43" s="2"/>
    </row>
    <row r="44" spans="1:16" ht="30" customHeight="1" x14ac:dyDescent="0.25">
      <c r="A44" s="12"/>
      <c r="B44" s="13"/>
      <c r="C44" s="7"/>
      <c r="D44" s="13"/>
      <c r="E44" s="2"/>
      <c r="F44" s="2"/>
      <c r="G44" s="14"/>
      <c r="H44" s="14" t="str">
        <f t="shared" si="2"/>
        <v/>
      </c>
      <c r="I44" s="14" t="str">
        <f t="shared" si="3"/>
        <v/>
      </c>
      <c r="J44" s="15" t="str">
        <f>IFERROR(INDEX('Categorías y Tasas'!$D$5:$D$36,MATCH(F44,'Categorías y Tasas'!$H$5:$H$36,0)),"")</f>
        <v/>
      </c>
      <c r="K44" s="14" t="str">
        <f>IF(OR(F44="",J44=""),"",IF(I44&gt;IFERROR(INDEX('Categorías y Tasas'!$I$5:$I$36,MATCH(F44,'Categorías y Tasas'!$H$5:$H$36,0)),0),ROUND(I44*J44,2),0))</f>
        <v/>
      </c>
      <c r="L44" s="12"/>
      <c r="M44" s="13" t="str">
        <f>IFERROR(INDEX('Categorías y Tasas'!$F$5:$F$36,MATCH(F44,'Categorías y Tasas'!$H$5:$H$36,0)),"")</f>
        <v/>
      </c>
      <c r="N44" s="7"/>
      <c r="O44" s="13"/>
      <c r="P44" s="2"/>
    </row>
    <row r="45" spans="1:16" ht="30" customHeight="1" x14ac:dyDescent="0.25">
      <c r="A45" s="12"/>
      <c r="B45" s="13"/>
      <c r="C45" s="7"/>
      <c r="D45" s="13"/>
      <c r="E45" s="2"/>
      <c r="F45" s="2"/>
      <c r="G45" s="14"/>
      <c r="H45" s="14" t="str">
        <f t="shared" si="2"/>
        <v/>
      </c>
      <c r="I45" s="14" t="str">
        <f t="shared" si="3"/>
        <v/>
      </c>
      <c r="J45" s="15" t="str">
        <f>IFERROR(INDEX('Categorías y Tasas'!$D$5:$D$36,MATCH(F45,'Categorías y Tasas'!$H$5:$H$36,0)),"")</f>
        <v/>
      </c>
      <c r="K45" s="14" t="str">
        <f>IF(OR(F45="",J45=""),"",IF(I45&gt;IFERROR(INDEX('Categorías y Tasas'!$I$5:$I$36,MATCH(F45,'Categorías y Tasas'!$H$5:$H$36,0)),0),ROUND(I45*J45,2),0))</f>
        <v/>
      </c>
      <c r="L45" s="12"/>
      <c r="M45" s="13" t="str">
        <f>IFERROR(INDEX('Categorías y Tasas'!$F$5:$F$36,MATCH(F45,'Categorías y Tasas'!$H$5:$H$36,0)),"")</f>
        <v/>
      </c>
      <c r="N45" s="7"/>
      <c r="O45" s="13"/>
      <c r="P45" s="2"/>
    </row>
    <row r="46" spans="1:16" ht="30" customHeight="1" x14ac:dyDescent="0.25">
      <c r="A46" s="12"/>
      <c r="B46" s="13"/>
      <c r="C46" s="7"/>
      <c r="D46" s="13"/>
      <c r="E46" s="2"/>
      <c r="F46" s="2"/>
      <c r="G46" s="14"/>
      <c r="H46" s="14" t="str">
        <f t="shared" si="2"/>
        <v/>
      </c>
      <c r="I46" s="14" t="str">
        <f t="shared" si="3"/>
        <v/>
      </c>
      <c r="J46" s="15" t="str">
        <f>IFERROR(INDEX('Categorías y Tasas'!$D$5:$D$36,MATCH(F46,'Categorías y Tasas'!$H$5:$H$36,0)),"")</f>
        <v/>
      </c>
      <c r="K46" s="14" t="str">
        <f>IF(OR(F46="",J46=""),"",IF(I46&gt;IFERROR(INDEX('Categorías y Tasas'!$I$5:$I$36,MATCH(F46,'Categorías y Tasas'!$H$5:$H$36,0)),0),ROUND(I46*J46,2),0))</f>
        <v/>
      </c>
      <c r="L46" s="12"/>
      <c r="M46" s="13" t="str">
        <f>IFERROR(INDEX('Categorías y Tasas'!$F$5:$F$36,MATCH(F46,'Categorías y Tasas'!$H$5:$H$36,0)),"")</f>
        <v/>
      </c>
      <c r="N46" s="7"/>
      <c r="O46" s="13"/>
      <c r="P46" s="2"/>
    </row>
    <row r="47" spans="1:16" ht="30" customHeight="1" x14ac:dyDescent="0.25">
      <c r="A47" s="12"/>
      <c r="B47" s="13"/>
      <c r="C47" s="7"/>
      <c r="D47" s="13"/>
      <c r="E47" s="2"/>
      <c r="F47" s="2"/>
      <c r="G47" s="14"/>
      <c r="H47" s="14" t="str">
        <f t="shared" si="2"/>
        <v/>
      </c>
      <c r="I47" s="14" t="str">
        <f t="shared" si="3"/>
        <v/>
      </c>
      <c r="J47" s="15" t="str">
        <f>IFERROR(INDEX('Categorías y Tasas'!$D$5:$D$36,MATCH(F47,'Categorías y Tasas'!$H$5:$H$36,0)),"")</f>
        <v/>
      </c>
      <c r="K47" s="14" t="str">
        <f>IF(OR(F47="",J47=""),"",IF(I47&gt;IFERROR(INDEX('Categorías y Tasas'!$I$5:$I$36,MATCH(F47,'Categorías y Tasas'!$H$5:$H$36,0)),0),ROUND(I47*J47,2),0))</f>
        <v/>
      </c>
      <c r="L47" s="12"/>
      <c r="M47" s="13" t="str">
        <f>IFERROR(INDEX('Categorías y Tasas'!$F$5:$F$36,MATCH(F47,'Categorías y Tasas'!$H$5:$H$36,0)),"")</f>
        <v/>
      </c>
      <c r="N47" s="7"/>
      <c r="O47" s="13"/>
      <c r="P47" s="2"/>
    </row>
    <row r="48" spans="1:16" ht="30" customHeight="1" x14ac:dyDescent="0.25">
      <c r="A48" s="12"/>
      <c r="B48" s="13"/>
      <c r="C48" s="7"/>
      <c r="D48" s="13"/>
      <c r="E48" s="2"/>
      <c r="F48" s="2"/>
      <c r="G48" s="14"/>
      <c r="H48" s="14" t="str">
        <f t="shared" si="2"/>
        <v/>
      </c>
      <c r="I48" s="14" t="str">
        <f t="shared" si="3"/>
        <v/>
      </c>
      <c r="J48" s="15" t="str">
        <f>IFERROR(INDEX('Categorías y Tasas'!$D$5:$D$36,MATCH(F48,'Categorías y Tasas'!$H$5:$H$36,0)),"")</f>
        <v/>
      </c>
      <c r="K48" s="14" t="str">
        <f>IF(OR(F48="",J48=""),"",IF(I48&gt;IFERROR(INDEX('Categorías y Tasas'!$I$5:$I$36,MATCH(F48,'Categorías y Tasas'!$H$5:$H$36,0)),0),ROUND(I48*J48,2),0))</f>
        <v/>
      </c>
      <c r="L48" s="12"/>
      <c r="M48" s="13" t="str">
        <f>IFERROR(INDEX('Categorías y Tasas'!$F$5:$F$36,MATCH(F48,'Categorías y Tasas'!$H$5:$H$36,0)),"")</f>
        <v/>
      </c>
      <c r="N48" s="7"/>
      <c r="O48" s="13"/>
      <c r="P48" s="2"/>
    </row>
    <row r="49" spans="1:16" ht="30" customHeight="1" x14ac:dyDescent="0.25">
      <c r="A49" s="12"/>
      <c r="B49" s="13"/>
      <c r="C49" s="7"/>
      <c r="D49" s="13"/>
      <c r="E49" s="2"/>
      <c r="F49" s="2"/>
      <c r="G49" s="14"/>
      <c r="H49" s="14" t="str">
        <f t="shared" si="2"/>
        <v/>
      </c>
      <c r="I49" s="14" t="str">
        <f t="shared" si="3"/>
        <v/>
      </c>
      <c r="J49" s="15" t="str">
        <f>IFERROR(INDEX('Categorías y Tasas'!$D$5:$D$36,MATCH(F49,'Categorías y Tasas'!$H$5:$H$36,0)),"")</f>
        <v/>
      </c>
      <c r="K49" s="14" t="str">
        <f>IF(OR(F49="",J49=""),"",IF(I49&gt;IFERROR(INDEX('Categorías y Tasas'!$I$5:$I$36,MATCH(F49,'Categorías y Tasas'!$H$5:$H$36,0)),0),ROUND(I49*J49,2),0))</f>
        <v/>
      </c>
      <c r="L49" s="12"/>
      <c r="M49" s="13" t="str">
        <f>IFERROR(INDEX('Categorías y Tasas'!$F$5:$F$36,MATCH(F49,'Categorías y Tasas'!$H$5:$H$36,0)),"")</f>
        <v/>
      </c>
      <c r="N49" s="7"/>
      <c r="O49" s="13"/>
      <c r="P49" s="2"/>
    </row>
    <row r="50" spans="1:16" ht="30" customHeight="1" x14ac:dyDescent="0.25">
      <c r="A50" s="12"/>
      <c r="B50" s="13"/>
      <c r="C50" s="7"/>
      <c r="D50" s="13"/>
      <c r="E50" s="2"/>
      <c r="F50" s="2"/>
      <c r="G50" s="14"/>
      <c r="H50" s="14" t="str">
        <f t="shared" si="2"/>
        <v/>
      </c>
      <c r="I50" s="14" t="str">
        <f t="shared" si="3"/>
        <v/>
      </c>
      <c r="J50" s="15" t="str">
        <f>IFERROR(INDEX('Categorías y Tasas'!$D$5:$D$36,MATCH(F50,'Categorías y Tasas'!$H$5:$H$36,0)),"")</f>
        <v/>
      </c>
      <c r="K50" s="14" t="str">
        <f>IF(OR(F50="",J50=""),"",IF(I50&gt;IFERROR(INDEX('Categorías y Tasas'!$I$5:$I$36,MATCH(F50,'Categorías y Tasas'!$H$5:$H$36,0)),0),ROUND(I50*J50,2),0))</f>
        <v/>
      </c>
      <c r="L50" s="12"/>
      <c r="M50" s="13" t="str">
        <f>IFERROR(INDEX('Categorías y Tasas'!$F$5:$F$36,MATCH(F50,'Categorías y Tasas'!$H$5:$H$36,0)),"")</f>
        <v/>
      </c>
      <c r="N50" s="7"/>
      <c r="O50" s="13"/>
      <c r="P50" s="2"/>
    </row>
    <row r="51" spans="1:16" ht="30" customHeight="1" x14ac:dyDescent="0.25">
      <c r="A51" s="12"/>
      <c r="B51" s="13"/>
      <c r="C51" s="7"/>
      <c r="D51" s="13"/>
      <c r="E51" s="2"/>
      <c r="F51" s="2"/>
      <c r="G51" s="14"/>
      <c r="H51" s="14" t="str">
        <f t="shared" si="2"/>
        <v/>
      </c>
      <c r="I51" s="14" t="str">
        <f t="shared" si="3"/>
        <v/>
      </c>
      <c r="J51" s="15" t="str">
        <f>IFERROR(INDEX('Categorías y Tasas'!$D$5:$D$36,MATCH(F51,'Categorías y Tasas'!$H$5:$H$36,0)),"")</f>
        <v/>
      </c>
      <c r="K51" s="14" t="str">
        <f>IF(OR(F51="",J51=""),"",IF(I51&gt;IFERROR(INDEX('Categorías y Tasas'!$I$5:$I$36,MATCH(F51,'Categorías y Tasas'!$H$5:$H$36,0)),0),ROUND(I51*J51,2),0))</f>
        <v/>
      </c>
      <c r="L51" s="12"/>
      <c r="M51" s="13" t="str">
        <f>IFERROR(INDEX('Categorías y Tasas'!$F$5:$F$36,MATCH(F51,'Categorías y Tasas'!$H$5:$H$36,0)),"")</f>
        <v/>
      </c>
      <c r="N51" s="7"/>
      <c r="O51" s="13"/>
      <c r="P51" s="2"/>
    </row>
    <row r="52" spans="1:16" ht="30" customHeight="1" x14ac:dyDescent="0.25">
      <c r="A52" s="12"/>
      <c r="B52" s="13"/>
      <c r="C52" s="7"/>
      <c r="D52" s="13"/>
      <c r="E52" s="2"/>
      <c r="F52" s="2"/>
      <c r="G52" s="14"/>
      <c r="H52" s="14" t="str">
        <f t="shared" si="2"/>
        <v/>
      </c>
      <c r="I52" s="14" t="str">
        <f t="shared" si="3"/>
        <v/>
      </c>
      <c r="J52" s="15" t="str">
        <f>IFERROR(INDEX('Categorías y Tasas'!$D$5:$D$36,MATCH(F52,'Categorías y Tasas'!$H$5:$H$36,0)),"")</f>
        <v/>
      </c>
      <c r="K52" s="14" t="str">
        <f>IF(OR(F52="",J52=""),"",IF(I52&gt;IFERROR(INDEX('Categorías y Tasas'!$I$5:$I$36,MATCH(F52,'Categorías y Tasas'!$H$5:$H$36,0)),0),ROUND(I52*J52,2),0))</f>
        <v/>
      </c>
      <c r="L52" s="12"/>
      <c r="M52" s="13" t="str">
        <f>IFERROR(INDEX('Categorías y Tasas'!$F$5:$F$36,MATCH(F52,'Categorías y Tasas'!$H$5:$H$36,0)),"")</f>
        <v/>
      </c>
      <c r="N52" s="7"/>
      <c r="O52" s="13"/>
      <c r="P52" s="2"/>
    </row>
    <row r="53" spans="1:16" ht="30" customHeight="1" x14ac:dyDescent="0.25">
      <c r="A53" s="12"/>
      <c r="B53" s="13"/>
      <c r="C53" s="7"/>
      <c r="D53" s="13"/>
      <c r="E53" s="2"/>
      <c r="F53" s="2"/>
      <c r="G53" s="14"/>
      <c r="H53" s="14" t="str">
        <f t="shared" si="2"/>
        <v/>
      </c>
      <c r="I53" s="14" t="str">
        <f t="shared" si="3"/>
        <v/>
      </c>
      <c r="J53" s="15" t="str">
        <f>IFERROR(INDEX('Categorías y Tasas'!$D$5:$D$36,MATCH(F53,'Categorías y Tasas'!$H$5:$H$36,0)),"")</f>
        <v/>
      </c>
      <c r="K53" s="14" t="str">
        <f>IF(OR(F53="",J53=""),"",IF(I53&gt;IFERROR(INDEX('Categorías y Tasas'!$I$5:$I$36,MATCH(F53,'Categorías y Tasas'!$H$5:$H$36,0)),0),ROUND(I53*J53,2),0))</f>
        <v/>
      </c>
      <c r="L53" s="12"/>
      <c r="M53" s="13" t="str">
        <f>IFERROR(INDEX('Categorías y Tasas'!$F$5:$F$36,MATCH(F53,'Categorías y Tasas'!$H$5:$H$36,0)),"")</f>
        <v/>
      </c>
      <c r="N53" s="7"/>
      <c r="O53" s="13"/>
      <c r="P53" s="2"/>
    </row>
    <row r="54" spans="1:16" ht="30" customHeight="1" x14ac:dyDescent="0.25">
      <c r="A54" s="12"/>
      <c r="B54" s="13"/>
      <c r="C54" s="7"/>
      <c r="D54" s="13"/>
      <c r="E54" s="2"/>
      <c r="F54" s="2"/>
      <c r="G54" s="14"/>
      <c r="H54" s="14" t="str">
        <f t="shared" si="2"/>
        <v/>
      </c>
      <c r="I54" s="14" t="str">
        <f t="shared" si="3"/>
        <v/>
      </c>
      <c r="J54" s="15" t="str">
        <f>IFERROR(INDEX('Categorías y Tasas'!$D$5:$D$36,MATCH(F54,'Categorías y Tasas'!$H$5:$H$36,0)),"")</f>
        <v/>
      </c>
      <c r="K54" s="14" t="str">
        <f>IF(OR(F54="",J54=""),"",IF(I54&gt;IFERROR(INDEX('Categorías y Tasas'!$I$5:$I$36,MATCH(F54,'Categorías y Tasas'!$H$5:$H$36,0)),0),ROUND(I54*J54,2),0))</f>
        <v/>
      </c>
      <c r="L54" s="12"/>
      <c r="M54" s="13" t="str">
        <f>IFERROR(INDEX('Categorías y Tasas'!$F$5:$F$36,MATCH(F54,'Categorías y Tasas'!$H$5:$H$36,0)),"")</f>
        <v/>
      </c>
      <c r="N54" s="7"/>
      <c r="O54" s="13"/>
      <c r="P54" s="2"/>
    </row>
    <row r="55" spans="1:16" ht="30" customHeight="1" x14ac:dyDescent="0.25">
      <c r="A55" s="12"/>
      <c r="B55" s="13"/>
      <c r="C55" s="7"/>
      <c r="D55" s="13"/>
      <c r="E55" s="2"/>
      <c r="F55" s="2"/>
      <c r="G55" s="14"/>
      <c r="H55" s="14" t="str">
        <f t="shared" si="2"/>
        <v/>
      </c>
      <c r="I55" s="14" t="str">
        <f t="shared" si="3"/>
        <v/>
      </c>
      <c r="J55" s="15" t="str">
        <f>IFERROR(INDEX('Categorías y Tasas'!$D$5:$D$36,MATCH(F55,'Categorías y Tasas'!$H$5:$H$36,0)),"")</f>
        <v/>
      </c>
      <c r="K55" s="14" t="str">
        <f>IF(OR(F55="",J55=""),"",IF(I55&gt;IFERROR(INDEX('Categorías y Tasas'!$I$5:$I$36,MATCH(F55,'Categorías y Tasas'!$H$5:$H$36,0)),0),ROUND(I55*J55,2),0))</f>
        <v/>
      </c>
      <c r="L55" s="12"/>
      <c r="M55" s="13" t="str">
        <f>IFERROR(INDEX('Categorías y Tasas'!$F$5:$F$36,MATCH(F55,'Categorías y Tasas'!$H$5:$H$36,0)),"")</f>
        <v/>
      </c>
      <c r="N55" s="7"/>
      <c r="O55" s="13"/>
      <c r="P55" s="2"/>
    </row>
    <row r="56" spans="1:16" ht="30" customHeight="1" x14ac:dyDescent="0.25">
      <c r="A56" s="12"/>
      <c r="B56" s="13"/>
      <c r="C56" s="7"/>
      <c r="D56" s="13"/>
      <c r="E56" s="2"/>
      <c r="F56" s="2"/>
      <c r="G56" s="14"/>
      <c r="H56" s="14" t="str">
        <f t="shared" si="2"/>
        <v/>
      </c>
      <c r="I56" s="14" t="str">
        <f t="shared" si="3"/>
        <v/>
      </c>
      <c r="J56" s="15" t="str">
        <f>IFERROR(INDEX('Categorías y Tasas'!$D$5:$D$36,MATCH(F56,'Categorías y Tasas'!$H$5:$H$36,0)),"")</f>
        <v/>
      </c>
      <c r="K56" s="14" t="str">
        <f>IF(OR(F56="",J56=""),"",IF(I56&gt;IFERROR(INDEX('Categorías y Tasas'!$I$5:$I$36,MATCH(F56,'Categorías y Tasas'!$H$5:$H$36,0)),0),ROUND(I56*J56,2),0))</f>
        <v/>
      </c>
      <c r="L56" s="12"/>
      <c r="M56" s="13" t="str">
        <f>IFERROR(INDEX('Categorías y Tasas'!$F$5:$F$36,MATCH(F56,'Categorías y Tasas'!$H$5:$H$36,0)),"")</f>
        <v/>
      </c>
      <c r="N56" s="7"/>
      <c r="O56" s="13"/>
      <c r="P56" s="2"/>
    </row>
    <row r="57" spans="1:16" ht="30" customHeight="1" x14ac:dyDescent="0.25">
      <c r="A57" s="12"/>
      <c r="B57" s="13"/>
      <c r="C57" s="7"/>
      <c r="D57" s="13"/>
      <c r="E57" s="2"/>
      <c r="F57" s="2"/>
      <c r="G57" s="14"/>
      <c r="H57" s="14" t="str">
        <f t="shared" si="2"/>
        <v/>
      </c>
      <c r="I57" s="14" t="str">
        <f t="shared" si="3"/>
        <v/>
      </c>
      <c r="J57" s="15" t="str">
        <f>IFERROR(INDEX('Categorías y Tasas'!$D$5:$D$36,MATCH(F57,'Categorías y Tasas'!$H$5:$H$36,0)),"")</f>
        <v/>
      </c>
      <c r="K57" s="14" t="str">
        <f>IF(OR(F57="",J57=""),"",IF(I57&gt;IFERROR(INDEX('Categorías y Tasas'!$I$5:$I$36,MATCH(F57,'Categorías y Tasas'!$H$5:$H$36,0)),0),ROUND(I57*J57,2),0))</f>
        <v/>
      </c>
      <c r="L57" s="12"/>
      <c r="M57" s="13" t="str">
        <f>IFERROR(INDEX('Categorías y Tasas'!$F$5:$F$36,MATCH(F57,'Categorías y Tasas'!$H$5:$H$36,0)),"")</f>
        <v/>
      </c>
      <c r="N57" s="7"/>
      <c r="O57" s="13"/>
      <c r="P57" s="2"/>
    </row>
    <row r="58" spans="1:16" ht="30" customHeight="1" x14ac:dyDescent="0.25">
      <c r="A58" s="12"/>
      <c r="B58" s="13"/>
      <c r="C58" s="7"/>
      <c r="D58" s="13"/>
      <c r="E58" s="2"/>
      <c r="F58" s="2"/>
      <c r="G58" s="14"/>
      <c r="H58" s="14" t="str">
        <f t="shared" si="2"/>
        <v/>
      </c>
      <c r="I58" s="14" t="str">
        <f t="shared" si="3"/>
        <v/>
      </c>
      <c r="J58" s="15" t="str">
        <f>IFERROR(INDEX('Categorías y Tasas'!$D$5:$D$36,MATCH(F58,'Categorías y Tasas'!$H$5:$H$36,0)),"")</f>
        <v/>
      </c>
      <c r="K58" s="14" t="str">
        <f>IF(OR(F58="",J58=""),"",IF(I58&gt;IFERROR(INDEX('Categorías y Tasas'!$I$5:$I$36,MATCH(F58,'Categorías y Tasas'!$H$5:$H$36,0)),0),ROUND(I58*J58,2),0))</f>
        <v/>
      </c>
      <c r="L58" s="12"/>
      <c r="M58" s="13" t="str">
        <f>IFERROR(INDEX('Categorías y Tasas'!$F$5:$F$36,MATCH(F58,'Categorías y Tasas'!$H$5:$H$36,0)),"")</f>
        <v/>
      </c>
      <c r="N58" s="7"/>
      <c r="O58" s="13"/>
      <c r="P58" s="2"/>
    </row>
    <row r="59" spans="1:16" ht="30" customHeight="1" x14ac:dyDescent="0.25">
      <c r="A59" s="12"/>
      <c r="B59" s="13"/>
      <c r="C59" s="7"/>
      <c r="D59" s="13"/>
      <c r="E59" s="2"/>
      <c r="F59" s="2"/>
      <c r="G59" s="14"/>
      <c r="H59" s="14" t="str">
        <f t="shared" si="2"/>
        <v/>
      </c>
      <c r="I59" s="14" t="str">
        <f t="shared" si="3"/>
        <v/>
      </c>
      <c r="J59" s="15" t="str">
        <f>IFERROR(INDEX('Categorías y Tasas'!$D$5:$D$36,MATCH(F59,'Categorías y Tasas'!$H$5:$H$36,0)),"")</f>
        <v/>
      </c>
      <c r="K59" s="14" t="str">
        <f>IF(OR(F59="",J59=""),"",IF(I59&gt;IFERROR(INDEX('Categorías y Tasas'!$I$5:$I$36,MATCH(F59,'Categorías y Tasas'!$H$5:$H$36,0)),0),ROUND(I59*J59,2),0))</f>
        <v/>
      </c>
      <c r="L59" s="12"/>
      <c r="M59" s="13" t="str">
        <f>IFERROR(INDEX('Categorías y Tasas'!$F$5:$F$36,MATCH(F59,'Categorías y Tasas'!$H$5:$H$36,0)),"")</f>
        <v/>
      </c>
      <c r="N59" s="7"/>
      <c r="O59" s="13"/>
      <c r="P59" s="2"/>
    </row>
    <row r="60" spans="1:16" ht="30" customHeight="1" x14ac:dyDescent="0.25">
      <c r="A60" s="12"/>
      <c r="B60" s="13"/>
      <c r="C60" s="7"/>
      <c r="D60" s="13"/>
      <c r="E60" s="2"/>
      <c r="F60" s="2"/>
      <c r="G60" s="14"/>
      <c r="H60" s="14" t="str">
        <f t="shared" si="2"/>
        <v/>
      </c>
      <c r="I60" s="14" t="str">
        <f t="shared" si="3"/>
        <v/>
      </c>
      <c r="J60" s="15" t="str">
        <f>IFERROR(INDEX('Categorías y Tasas'!$D$5:$D$36,MATCH(F60,'Categorías y Tasas'!$H$5:$H$36,0)),"")</f>
        <v/>
      </c>
      <c r="K60" s="14" t="str">
        <f>IF(OR(F60="",J60=""),"",IF(I60&gt;IFERROR(INDEX('Categorías y Tasas'!$I$5:$I$36,MATCH(F60,'Categorías y Tasas'!$H$5:$H$36,0)),0),ROUND(I60*J60,2),0))</f>
        <v/>
      </c>
      <c r="L60" s="12"/>
      <c r="M60" s="13" t="str">
        <f>IFERROR(INDEX('Categorías y Tasas'!$F$5:$F$36,MATCH(F60,'Categorías y Tasas'!$H$5:$H$36,0)),"")</f>
        <v/>
      </c>
      <c r="N60" s="7"/>
      <c r="O60" s="13"/>
      <c r="P60" s="2"/>
    </row>
    <row r="61" spans="1:16" ht="30" customHeight="1" x14ac:dyDescent="0.25">
      <c r="A61" s="12"/>
      <c r="B61" s="13"/>
      <c r="C61" s="7"/>
      <c r="D61" s="13"/>
      <c r="E61" s="2"/>
      <c r="F61" s="2"/>
      <c r="G61" s="14"/>
      <c r="H61" s="14" t="str">
        <f t="shared" si="2"/>
        <v/>
      </c>
      <c r="I61" s="14" t="str">
        <f t="shared" si="3"/>
        <v/>
      </c>
      <c r="J61" s="15" t="str">
        <f>IFERROR(INDEX('Categorías y Tasas'!$D$5:$D$36,MATCH(F61,'Categorías y Tasas'!$H$5:$H$36,0)),"")</f>
        <v/>
      </c>
      <c r="K61" s="14" t="str">
        <f>IF(OR(F61="",J61=""),"",IF(I61&gt;IFERROR(INDEX('Categorías y Tasas'!$I$5:$I$36,MATCH(F61,'Categorías y Tasas'!$H$5:$H$36,0)),0),ROUND(I61*J61,2),0))</f>
        <v/>
      </c>
      <c r="L61" s="12"/>
      <c r="M61" s="13" t="str">
        <f>IFERROR(INDEX('Categorías y Tasas'!$F$5:$F$36,MATCH(F61,'Categorías y Tasas'!$H$5:$H$36,0)),"")</f>
        <v/>
      </c>
      <c r="N61" s="7"/>
      <c r="O61" s="13"/>
      <c r="P61" s="2"/>
    </row>
    <row r="62" spans="1:16" ht="30" customHeight="1" x14ac:dyDescent="0.25">
      <c r="A62" s="12"/>
      <c r="B62" s="13"/>
      <c r="C62" s="7"/>
      <c r="D62" s="13"/>
      <c r="E62" s="2"/>
      <c r="F62" s="2"/>
      <c r="G62" s="14"/>
      <c r="H62" s="14" t="str">
        <f t="shared" si="2"/>
        <v/>
      </c>
      <c r="I62" s="14" t="str">
        <f t="shared" si="3"/>
        <v/>
      </c>
      <c r="J62" s="15" t="str">
        <f>IFERROR(INDEX('Categorías y Tasas'!$D$5:$D$36,MATCH(F62,'Categorías y Tasas'!$H$5:$H$36,0)),"")</f>
        <v/>
      </c>
      <c r="K62" s="14" t="str">
        <f>IF(OR(F62="",J62=""),"",IF(I62&gt;IFERROR(INDEX('Categorías y Tasas'!$I$5:$I$36,MATCH(F62,'Categorías y Tasas'!$H$5:$H$36,0)),0),ROUND(I62*J62,2),0))</f>
        <v/>
      </c>
      <c r="L62" s="12"/>
      <c r="M62" s="13" t="str">
        <f>IFERROR(INDEX('Categorías y Tasas'!$F$5:$F$36,MATCH(F62,'Categorías y Tasas'!$H$5:$H$36,0)),"")</f>
        <v/>
      </c>
      <c r="N62" s="7"/>
      <c r="O62" s="13"/>
      <c r="P62" s="2"/>
    </row>
    <row r="63" spans="1:16" ht="30" customHeight="1" x14ac:dyDescent="0.25">
      <c r="A63" s="12"/>
      <c r="B63" s="13"/>
      <c r="C63" s="7"/>
      <c r="D63" s="13"/>
      <c r="E63" s="2"/>
      <c r="F63" s="2"/>
      <c r="G63" s="14"/>
      <c r="H63" s="14" t="str">
        <f t="shared" si="2"/>
        <v/>
      </c>
      <c r="I63" s="14" t="str">
        <f t="shared" si="3"/>
        <v/>
      </c>
      <c r="J63" s="15" t="str">
        <f>IFERROR(INDEX('Categorías y Tasas'!$D$5:$D$36,MATCH(F63,'Categorías y Tasas'!$H$5:$H$36,0)),"")</f>
        <v/>
      </c>
      <c r="K63" s="14" t="str">
        <f>IF(OR(F63="",J63=""),"",IF(I63&gt;IFERROR(INDEX('Categorías y Tasas'!$I$5:$I$36,MATCH(F63,'Categorías y Tasas'!$H$5:$H$36,0)),0),ROUND(I63*J63,2),0))</f>
        <v/>
      </c>
      <c r="L63" s="12"/>
      <c r="M63" s="13" t="str">
        <f>IFERROR(INDEX('Categorías y Tasas'!$F$5:$F$36,MATCH(F63,'Categorías y Tasas'!$H$5:$H$36,0)),"")</f>
        <v/>
      </c>
      <c r="N63" s="7"/>
      <c r="O63" s="13"/>
      <c r="P63" s="2"/>
    </row>
    <row r="64" spans="1:16" ht="30" customHeight="1" x14ac:dyDescent="0.25">
      <c r="A64" s="12"/>
      <c r="B64" s="13"/>
      <c r="C64" s="7"/>
      <c r="D64" s="13"/>
      <c r="E64" s="2"/>
      <c r="F64" s="2"/>
      <c r="G64" s="14"/>
      <c r="H64" s="14" t="str">
        <f t="shared" si="2"/>
        <v/>
      </c>
      <c r="I64" s="14" t="str">
        <f t="shared" si="3"/>
        <v/>
      </c>
      <c r="J64" s="15" t="str">
        <f>IFERROR(INDEX('Categorías y Tasas'!$D$5:$D$36,MATCH(F64,'Categorías y Tasas'!$H$5:$H$36,0)),"")</f>
        <v/>
      </c>
      <c r="K64" s="14" t="str">
        <f>IF(OR(F64="",J64=""),"",IF(I64&gt;IFERROR(INDEX('Categorías y Tasas'!$I$5:$I$36,MATCH(F64,'Categorías y Tasas'!$H$5:$H$36,0)),0),ROUND(I64*J64,2),0))</f>
        <v/>
      </c>
      <c r="L64" s="12"/>
      <c r="M64" s="13" t="str">
        <f>IFERROR(INDEX('Categorías y Tasas'!$F$5:$F$36,MATCH(F64,'Categorías y Tasas'!$H$5:$H$36,0)),"")</f>
        <v/>
      </c>
      <c r="N64" s="7"/>
      <c r="O64" s="13"/>
      <c r="P64" s="2"/>
    </row>
    <row r="66" spans="1:16" x14ac:dyDescent="0.25">
      <c r="F66" s="16" t="s">
        <v>243</v>
      </c>
      <c r="G66" s="17">
        <f>SUM(G5:G64)</f>
        <v>5350</v>
      </c>
      <c r="H66" s="17">
        <f>SUM(H5:H64)</f>
        <v>963</v>
      </c>
      <c r="I66" s="17">
        <f>SUM(I5:I64)</f>
        <v>6313</v>
      </c>
      <c r="K66" s="17">
        <f>SUM(K5:K64)</f>
        <v>594.72</v>
      </c>
    </row>
    <row r="68" spans="1:16" ht="30" customHeight="1" x14ac:dyDescent="0.25">
      <c r="A68" s="31" t="s">
        <v>244</v>
      </c>
      <c r="B68" s="26"/>
      <c r="C68" s="26"/>
      <c r="D68" s="26"/>
      <c r="E68" s="26"/>
      <c r="F68" s="26"/>
      <c r="G68" s="26"/>
      <c r="H68" s="26"/>
      <c r="I68" s="26"/>
      <c r="J68" s="26"/>
      <c r="K68" s="26"/>
      <c r="L68" s="26"/>
      <c r="M68" s="26"/>
      <c r="N68" s="26"/>
      <c r="O68" s="26"/>
      <c r="P68" s="26"/>
    </row>
  </sheetData>
  <mergeCells count="3">
    <mergeCell ref="A1:P1"/>
    <mergeCell ref="A68:P68"/>
    <mergeCell ref="A2:P2"/>
  </mergeCells>
  <conditionalFormatting sqref="K5:K64">
    <cfRule type="expression" dxfId="2" priority="3">
      <formula>AND($N5="Pendiente",$K5&gt;0)</formula>
    </cfRule>
  </conditionalFormatting>
  <conditionalFormatting sqref="N5:N64">
    <cfRule type="expression" dxfId="1" priority="1">
      <formula>AND($N5="Pendiente",$K5&gt;0)</formula>
    </cfRule>
    <cfRule type="expression" dxfId="0" priority="2">
      <formula>$N5="Realizado"</formula>
    </cfRule>
  </conditionalFormatting>
  <dataValidations count="1">
    <dataValidation type="list" allowBlank="1" sqref="N5:N64" xr:uid="{00000000-0002-0000-0300-000001000000}">
      <formula1>"Pendiente,Realizado,No aplica"</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error="Selecciona una categoría de la lista (hoja Categorías y Tasas)." prompt="Elige el bien/servicio que más se parezca a lo facturado." xr:uid="{00000000-0002-0000-0300-000000000000}">
          <x14:formula1>
            <xm:f>'Categorías y Tasas'!$H$5:$H$36</xm:f>
          </x14:formula1>
          <xm:sqref>F5:F64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2"/>
  <sheetViews>
    <sheetView showGridLines="0" workbookViewId="0">
      <pane ySplit="4" topLeftCell="A5" activePane="bottomLeft" state="frozen"/>
      <selection pane="bottomLeft" sqref="A1:D1"/>
    </sheetView>
  </sheetViews>
  <sheetFormatPr baseColWidth="10" defaultColWidth="9.140625" defaultRowHeight="15" x14ac:dyDescent="0.25"/>
  <cols>
    <col min="1" max="1" width="11.5703125" bestFit="1" customWidth="1"/>
    <col min="2" max="2" width="46" customWidth="1"/>
    <col min="3" max="3" width="44" customWidth="1"/>
    <col min="4" max="4" width="22" bestFit="1" customWidth="1"/>
  </cols>
  <sheetData>
    <row r="1" spans="1:4" ht="26.1" customHeight="1" x14ac:dyDescent="0.25">
      <c r="A1" s="30" t="s">
        <v>245</v>
      </c>
      <c r="B1" s="29"/>
      <c r="C1" s="29"/>
      <c r="D1" s="29"/>
    </row>
    <row r="2" spans="1:4" ht="18" customHeight="1" x14ac:dyDescent="0.25">
      <c r="A2" s="28" t="s">
        <v>246</v>
      </c>
      <c r="B2" s="29"/>
      <c r="C2" s="29"/>
      <c r="D2" s="29"/>
    </row>
    <row r="4" spans="1:4" ht="27.95" customHeight="1" x14ac:dyDescent="0.25">
      <c r="A4" s="6" t="s">
        <v>247</v>
      </c>
      <c r="B4" s="6" t="s">
        <v>248</v>
      </c>
      <c r="C4" s="6" t="s">
        <v>249</v>
      </c>
      <c r="D4" s="6" t="s">
        <v>250</v>
      </c>
    </row>
    <row r="5" spans="1:4" ht="30" customHeight="1" x14ac:dyDescent="0.25">
      <c r="A5" s="18" t="s">
        <v>251</v>
      </c>
      <c r="B5" s="2" t="s">
        <v>252</v>
      </c>
      <c r="C5" s="2" t="s">
        <v>253</v>
      </c>
      <c r="D5" s="7" t="s">
        <v>254</v>
      </c>
    </row>
    <row r="6" spans="1:4" ht="30" customHeight="1" x14ac:dyDescent="0.25">
      <c r="A6" s="18" t="s">
        <v>255</v>
      </c>
      <c r="B6" s="2" t="s">
        <v>256</v>
      </c>
      <c r="C6" s="2" t="s">
        <v>257</v>
      </c>
      <c r="D6" s="7" t="s">
        <v>254</v>
      </c>
    </row>
    <row r="7" spans="1:4" ht="30" customHeight="1" x14ac:dyDescent="0.25">
      <c r="A7" s="18" t="s">
        <v>258</v>
      </c>
      <c r="B7" s="2" t="s">
        <v>259</v>
      </c>
      <c r="C7" s="2" t="s">
        <v>260</v>
      </c>
      <c r="D7" s="7" t="s">
        <v>254</v>
      </c>
    </row>
    <row r="8" spans="1:4" ht="30" customHeight="1" x14ac:dyDescent="0.25">
      <c r="A8" s="18" t="s">
        <v>261</v>
      </c>
      <c r="B8" s="2" t="s">
        <v>262</v>
      </c>
      <c r="C8" s="2" t="s">
        <v>263</v>
      </c>
      <c r="D8" s="7" t="s">
        <v>254</v>
      </c>
    </row>
    <row r="9" spans="1:4" ht="30" customHeight="1" x14ac:dyDescent="0.25">
      <c r="A9" s="18" t="s">
        <v>264</v>
      </c>
      <c r="B9" s="2" t="s">
        <v>265</v>
      </c>
      <c r="C9" s="2" t="s">
        <v>266</v>
      </c>
      <c r="D9" s="7" t="s">
        <v>254</v>
      </c>
    </row>
    <row r="10" spans="1:4" ht="30" customHeight="1" x14ac:dyDescent="0.25">
      <c r="A10" s="18" t="s">
        <v>267</v>
      </c>
      <c r="B10" s="2" t="s">
        <v>268</v>
      </c>
      <c r="C10" s="2" t="s">
        <v>269</v>
      </c>
      <c r="D10" s="7" t="s">
        <v>254</v>
      </c>
    </row>
    <row r="11" spans="1:4" ht="30" customHeight="1" x14ac:dyDescent="0.25">
      <c r="A11" s="18" t="s">
        <v>270</v>
      </c>
      <c r="B11" s="2" t="s">
        <v>271</v>
      </c>
      <c r="C11" s="2" t="s">
        <v>272</v>
      </c>
      <c r="D11" s="7" t="s">
        <v>254</v>
      </c>
    </row>
    <row r="12" spans="1:4" ht="30" customHeight="1" x14ac:dyDescent="0.25">
      <c r="A12" s="18" t="s">
        <v>273</v>
      </c>
      <c r="B12" s="2" t="s">
        <v>274</v>
      </c>
      <c r="C12" s="2" t="s">
        <v>275</v>
      </c>
      <c r="D12" s="7" t="s">
        <v>276</v>
      </c>
    </row>
    <row r="13" spans="1:4" ht="30" customHeight="1" x14ac:dyDescent="0.25">
      <c r="A13" s="18" t="s">
        <v>277</v>
      </c>
      <c r="B13" s="2" t="s">
        <v>278</v>
      </c>
      <c r="C13" s="2" t="s">
        <v>279</v>
      </c>
      <c r="D13" s="7" t="s">
        <v>280</v>
      </c>
    </row>
    <row r="14" spans="1:4" ht="30" customHeight="1" x14ac:dyDescent="0.25">
      <c r="A14" s="18" t="s">
        <v>281</v>
      </c>
      <c r="B14" s="2" t="s">
        <v>282</v>
      </c>
      <c r="C14" s="2" t="s">
        <v>283</v>
      </c>
      <c r="D14" s="7" t="s">
        <v>284</v>
      </c>
    </row>
    <row r="15" spans="1:4" ht="30" customHeight="1" x14ac:dyDescent="0.25">
      <c r="A15" s="18" t="s">
        <v>285</v>
      </c>
      <c r="B15" s="2" t="s">
        <v>286</v>
      </c>
      <c r="C15" s="2" t="s">
        <v>287</v>
      </c>
      <c r="D15" s="7" t="s">
        <v>284</v>
      </c>
    </row>
    <row r="16" spans="1:4" ht="30" customHeight="1" x14ac:dyDescent="0.25">
      <c r="A16" s="18" t="s">
        <v>288</v>
      </c>
      <c r="B16" s="2" t="s">
        <v>289</v>
      </c>
      <c r="C16" s="2" t="s">
        <v>290</v>
      </c>
      <c r="D16" s="7" t="s">
        <v>284</v>
      </c>
    </row>
    <row r="17" spans="1:4" ht="30" customHeight="1" x14ac:dyDescent="0.25">
      <c r="A17" s="18" t="s">
        <v>291</v>
      </c>
      <c r="B17" s="2" t="s">
        <v>292</v>
      </c>
      <c r="C17" s="2" t="s">
        <v>293</v>
      </c>
      <c r="D17" s="7" t="s">
        <v>284</v>
      </c>
    </row>
    <row r="18" spans="1:4" ht="30" customHeight="1" x14ac:dyDescent="0.25">
      <c r="A18" s="18" t="s">
        <v>294</v>
      </c>
      <c r="B18" s="2" t="s">
        <v>295</v>
      </c>
      <c r="C18" s="2" t="s">
        <v>296</v>
      </c>
      <c r="D18" s="7" t="s">
        <v>284</v>
      </c>
    </row>
    <row r="19" spans="1:4" ht="30" customHeight="1" x14ac:dyDescent="0.25">
      <c r="A19" s="18" t="s">
        <v>297</v>
      </c>
      <c r="B19" s="2" t="s">
        <v>298</v>
      </c>
      <c r="C19" s="2" t="s">
        <v>299</v>
      </c>
      <c r="D19" s="7" t="s">
        <v>284</v>
      </c>
    </row>
    <row r="20" spans="1:4" ht="30" customHeight="1" x14ac:dyDescent="0.25">
      <c r="A20" s="18" t="s">
        <v>300</v>
      </c>
      <c r="B20" s="2" t="s">
        <v>301</v>
      </c>
      <c r="C20" s="2" t="s">
        <v>302</v>
      </c>
      <c r="D20" s="7" t="s">
        <v>303</v>
      </c>
    </row>
    <row r="21" spans="1:4" ht="30" customHeight="1" x14ac:dyDescent="0.25">
      <c r="A21" s="18" t="s">
        <v>304</v>
      </c>
      <c r="B21" s="2" t="s">
        <v>305</v>
      </c>
      <c r="C21" s="2" t="s">
        <v>306</v>
      </c>
      <c r="D21" s="7" t="s">
        <v>307</v>
      </c>
    </row>
    <row r="22" spans="1:4" ht="30" customHeight="1" x14ac:dyDescent="0.25">
      <c r="A22" s="18" t="s">
        <v>308</v>
      </c>
      <c r="B22" s="2" t="s">
        <v>309</v>
      </c>
      <c r="C22" s="2" t="s">
        <v>310</v>
      </c>
      <c r="D22" s="7" t="s">
        <v>307</v>
      </c>
    </row>
    <row r="23" spans="1:4" ht="30" customHeight="1" x14ac:dyDescent="0.25">
      <c r="A23" s="18" t="s">
        <v>311</v>
      </c>
      <c r="B23" s="2" t="s">
        <v>312</v>
      </c>
      <c r="C23" s="2" t="s">
        <v>313</v>
      </c>
      <c r="D23" s="7" t="s">
        <v>307</v>
      </c>
    </row>
    <row r="24" spans="1:4" ht="30" customHeight="1" x14ac:dyDescent="0.25">
      <c r="A24" s="18" t="s">
        <v>314</v>
      </c>
      <c r="B24" s="2" t="s">
        <v>315</v>
      </c>
      <c r="C24" s="2" t="s">
        <v>316</v>
      </c>
      <c r="D24" s="7" t="s">
        <v>307</v>
      </c>
    </row>
    <row r="25" spans="1:4" ht="30" customHeight="1" x14ac:dyDescent="0.25">
      <c r="A25" s="18" t="s">
        <v>317</v>
      </c>
      <c r="B25" s="2" t="s">
        <v>318</v>
      </c>
      <c r="C25" s="2" t="s">
        <v>319</v>
      </c>
      <c r="D25" s="7" t="s">
        <v>307</v>
      </c>
    </row>
    <row r="26" spans="1:4" ht="30" customHeight="1" x14ac:dyDescent="0.25">
      <c r="A26" s="18" t="s">
        <v>320</v>
      </c>
      <c r="B26" s="2" t="s">
        <v>321</v>
      </c>
      <c r="C26" s="2" t="s">
        <v>322</v>
      </c>
      <c r="D26" s="7" t="s">
        <v>307</v>
      </c>
    </row>
    <row r="27" spans="1:4" ht="30" customHeight="1" x14ac:dyDescent="0.25">
      <c r="A27" s="18" t="s">
        <v>323</v>
      </c>
      <c r="B27" s="2" t="s">
        <v>324</v>
      </c>
      <c r="C27" s="2" t="s">
        <v>325</v>
      </c>
      <c r="D27" s="7" t="s">
        <v>307</v>
      </c>
    </row>
    <row r="28" spans="1:4" ht="30" customHeight="1" x14ac:dyDescent="0.25">
      <c r="A28" s="18" t="s">
        <v>326</v>
      </c>
      <c r="B28" s="2" t="s">
        <v>327</v>
      </c>
      <c r="C28" s="2" t="s">
        <v>328</v>
      </c>
      <c r="D28" s="7" t="s">
        <v>307</v>
      </c>
    </row>
    <row r="29" spans="1:4" ht="30" customHeight="1" x14ac:dyDescent="0.25">
      <c r="A29" s="18" t="s">
        <v>329</v>
      </c>
      <c r="B29" s="2" t="s">
        <v>330</v>
      </c>
      <c r="C29" s="2" t="s">
        <v>331</v>
      </c>
      <c r="D29" s="7" t="s">
        <v>307</v>
      </c>
    </row>
    <row r="30" spans="1:4" ht="30" customHeight="1" x14ac:dyDescent="0.25">
      <c r="A30" s="18" t="s">
        <v>332</v>
      </c>
      <c r="B30" s="2" t="s">
        <v>333</v>
      </c>
      <c r="C30" s="2" t="s">
        <v>334</v>
      </c>
      <c r="D30" s="7" t="s">
        <v>335</v>
      </c>
    </row>
    <row r="32" spans="1:4" x14ac:dyDescent="0.25">
      <c r="A32" s="32" t="s">
        <v>336</v>
      </c>
      <c r="B32" s="26"/>
      <c r="C32" s="26"/>
      <c r="D32" s="26"/>
    </row>
  </sheetData>
  <autoFilter ref="A4:D30" xr:uid="{00000000-0009-0000-0000-000004000000}"/>
  <mergeCells count="3">
    <mergeCell ref="A1:D1"/>
    <mergeCell ref="A32:D32"/>
    <mergeCell ref="A2:D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8"/>
  <sheetViews>
    <sheetView showGridLines="0" workbookViewId="0">
      <pane ySplit="3" topLeftCell="A4" activePane="bottomLeft" state="frozen"/>
      <selection pane="bottomLeft" sqref="A1:D1"/>
    </sheetView>
  </sheetViews>
  <sheetFormatPr baseColWidth="10" defaultColWidth="9.140625" defaultRowHeight="15" x14ac:dyDescent="0.25"/>
  <cols>
    <col min="1" max="1" width="10" customWidth="1"/>
    <col min="2" max="2" width="46" customWidth="1"/>
    <col min="3" max="4" width="16" customWidth="1"/>
  </cols>
  <sheetData>
    <row r="1" spans="1:4" ht="26.1" customHeight="1" x14ac:dyDescent="0.25">
      <c r="A1" s="30" t="s">
        <v>337</v>
      </c>
      <c r="B1" s="29"/>
      <c r="C1" s="29"/>
      <c r="D1" s="29"/>
    </row>
    <row r="2" spans="1:4" ht="18" customHeight="1" x14ac:dyDescent="0.25">
      <c r="A2" s="28" t="s">
        <v>338</v>
      </c>
      <c r="B2" s="29"/>
      <c r="C2" s="29"/>
      <c r="D2" s="29"/>
    </row>
    <row r="4" spans="1:4" ht="21.95" customHeight="1" x14ac:dyDescent="0.25">
      <c r="A4" s="33" t="s">
        <v>339</v>
      </c>
      <c r="B4" s="26"/>
      <c r="C4" s="26"/>
      <c r="D4" s="26"/>
    </row>
    <row r="5" spans="1:4" ht="32.1" customHeight="1" x14ac:dyDescent="0.25">
      <c r="A5" s="25" t="s">
        <v>340</v>
      </c>
      <c r="B5" s="26"/>
      <c r="C5" s="26"/>
      <c r="D5" s="26"/>
    </row>
    <row r="6" spans="1:4" ht="20.100000000000001" customHeight="1" x14ac:dyDescent="0.25">
      <c r="A6" s="19" t="s">
        <v>247</v>
      </c>
      <c r="B6" s="19" t="s">
        <v>248</v>
      </c>
      <c r="C6" s="19" t="s">
        <v>341</v>
      </c>
      <c r="D6" s="19" t="s">
        <v>342</v>
      </c>
    </row>
    <row r="7" spans="1:4" x14ac:dyDescent="0.25">
      <c r="A7" s="18"/>
      <c r="B7" s="13" t="s">
        <v>343</v>
      </c>
      <c r="C7" s="20"/>
      <c r="D7" s="20"/>
    </row>
    <row r="8" spans="1:4" x14ac:dyDescent="0.25">
      <c r="A8" s="18" t="s">
        <v>311</v>
      </c>
      <c r="B8" s="21" t="s">
        <v>312</v>
      </c>
      <c r="C8" s="20">
        <v>1000</v>
      </c>
      <c r="D8" s="20"/>
    </row>
    <row r="9" spans="1:4" x14ac:dyDescent="0.25">
      <c r="A9" s="18" t="s">
        <v>277</v>
      </c>
      <c r="B9" s="21" t="s">
        <v>344</v>
      </c>
      <c r="C9" s="20">
        <v>180</v>
      </c>
      <c r="D9" s="20"/>
    </row>
    <row r="10" spans="1:4" x14ac:dyDescent="0.25">
      <c r="A10" s="18" t="s">
        <v>294</v>
      </c>
      <c r="B10" s="21" t="s">
        <v>345</v>
      </c>
      <c r="C10" s="20"/>
      <c r="D10" s="20">
        <v>1180</v>
      </c>
    </row>
    <row r="11" spans="1:4" x14ac:dyDescent="0.25">
      <c r="A11" s="18"/>
      <c r="B11" s="13" t="s">
        <v>346</v>
      </c>
      <c r="C11" s="20"/>
      <c r="D11" s="20"/>
    </row>
    <row r="12" spans="1:4" x14ac:dyDescent="0.25">
      <c r="A12" s="18" t="s">
        <v>294</v>
      </c>
      <c r="B12" s="21" t="s">
        <v>345</v>
      </c>
      <c r="C12" s="20">
        <v>1180</v>
      </c>
      <c r="D12" s="20"/>
    </row>
    <row r="13" spans="1:4" x14ac:dyDescent="0.25">
      <c r="A13" s="18" t="s">
        <v>258</v>
      </c>
      <c r="B13" s="21" t="s">
        <v>347</v>
      </c>
      <c r="C13" s="20"/>
      <c r="D13" s="20">
        <v>1038.4000000000001</v>
      </c>
    </row>
    <row r="14" spans="1:4" x14ac:dyDescent="0.25">
      <c r="A14" s="18" t="s">
        <v>258</v>
      </c>
      <c r="B14" s="21" t="s">
        <v>348</v>
      </c>
      <c r="C14" s="20"/>
      <c r="D14" s="20">
        <v>141.6</v>
      </c>
    </row>
    <row r="16" spans="1:4" ht="21.95" customHeight="1" x14ac:dyDescent="0.25">
      <c r="A16" s="33" t="s">
        <v>349</v>
      </c>
      <c r="B16" s="26"/>
      <c r="C16" s="26"/>
      <c r="D16" s="26"/>
    </row>
    <row r="17" spans="1:4" ht="32.1" customHeight="1" x14ac:dyDescent="0.25">
      <c r="A17" s="25" t="s">
        <v>350</v>
      </c>
      <c r="B17" s="26"/>
      <c r="C17" s="26"/>
      <c r="D17" s="26"/>
    </row>
    <row r="18" spans="1:4" ht="20.100000000000001" customHeight="1" x14ac:dyDescent="0.25">
      <c r="A18" s="19" t="s">
        <v>247</v>
      </c>
      <c r="B18" s="19" t="s">
        <v>248</v>
      </c>
      <c r="C18" s="19" t="s">
        <v>341</v>
      </c>
      <c r="D18" s="19" t="s">
        <v>342</v>
      </c>
    </row>
    <row r="19" spans="1:4" x14ac:dyDescent="0.25">
      <c r="A19" s="18"/>
      <c r="B19" s="13" t="s">
        <v>343</v>
      </c>
      <c r="C19" s="20"/>
      <c r="D19" s="20"/>
    </row>
    <row r="20" spans="1:4" x14ac:dyDescent="0.25">
      <c r="A20" s="18" t="s">
        <v>317</v>
      </c>
      <c r="B20" s="21" t="s">
        <v>318</v>
      </c>
      <c r="C20" s="20">
        <v>3500</v>
      </c>
      <c r="D20" s="20"/>
    </row>
    <row r="21" spans="1:4" x14ac:dyDescent="0.25">
      <c r="A21" s="18" t="s">
        <v>277</v>
      </c>
      <c r="B21" s="21" t="s">
        <v>344</v>
      </c>
      <c r="C21" s="20">
        <v>630</v>
      </c>
      <c r="D21" s="20"/>
    </row>
    <row r="22" spans="1:4" x14ac:dyDescent="0.25">
      <c r="A22" s="18" t="s">
        <v>294</v>
      </c>
      <c r="B22" s="21" t="s">
        <v>345</v>
      </c>
      <c r="C22" s="20"/>
      <c r="D22" s="20">
        <v>4130</v>
      </c>
    </row>
    <row r="23" spans="1:4" x14ac:dyDescent="0.25">
      <c r="A23" s="18"/>
      <c r="B23" s="13" t="s">
        <v>346</v>
      </c>
      <c r="C23" s="20"/>
      <c r="D23" s="20"/>
    </row>
    <row r="24" spans="1:4" x14ac:dyDescent="0.25">
      <c r="A24" s="18" t="s">
        <v>294</v>
      </c>
      <c r="B24" s="21" t="s">
        <v>345</v>
      </c>
      <c r="C24" s="20">
        <v>4130</v>
      </c>
      <c r="D24" s="20"/>
    </row>
    <row r="25" spans="1:4" x14ac:dyDescent="0.25">
      <c r="A25" s="18" t="s">
        <v>258</v>
      </c>
      <c r="B25" s="21" t="s">
        <v>347</v>
      </c>
      <c r="C25" s="20"/>
      <c r="D25" s="20">
        <v>3717</v>
      </c>
    </row>
    <row r="26" spans="1:4" x14ac:dyDescent="0.25">
      <c r="A26" s="18" t="s">
        <v>258</v>
      </c>
      <c r="B26" s="21" t="s">
        <v>348</v>
      </c>
      <c r="C26" s="20"/>
      <c r="D26" s="20">
        <v>413</v>
      </c>
    </row>
    <row r="28" spans="1:4" ht="21.95" customHeight="1" x14ac:dyDescent="0.25">
      <c r="A28" s="33" t="s">
        <v>351</v>
      </c>
      <c r="B28" s="26"/>
      <c r="C28" s="26"/>
      <c r="D28" s="26"/>
    </row>
    <row r="29" spans="1:4" ht="32.1" customHeight="1" x14ac:dyDescent="0.25">
      <c r="A29" s="25" t="s">
        <v>352</v>
      </c>
      <c r="B29" s="26"/>
      <c r="C29" s="26"/>
      <c r="D29" s="26"/>
    </row>
    <row r="30" spans="1:4" ht="20.100000000000001" customHeight="1" x14ac:dyDescent="0.25">
      <c r="A30" s="19" t="s">
        <v>247</v>
      </c>
      <c r="B30" s="19" t="s">
        <v>248</v>
      </c>
      <c r="C30" s="19" t="s">
        <v>341</v>
      </c>
      <c r="D30" s="19" t="s">
        <v>342</v>
      </c>
    </row>
    <row r="31" spans="1:4" x14ac:dyDescent="0.25">
      <c r="A31" s="18" t="s">
        <v>326</v>
      </c>
      <c r="B31" s="21" t="s">
        <v>353</v>
      </c>
      <c r="C31" s="20">
        <v>300</v>
      </c>
      <c r="D31" s="20"/>
    </row>
    <row r="32" spans="1:4" x14ac:dyDescent="0.25">
      <c r="A32" s="18" t="s">
        <v>277</v>
      </c>
      <c r="B32" s="21" t="s">
        <v>344</v>
      </c>
      <c r="C32" s="20">
        <v>54</v>
      </c>
      <c r="D32" s="20"/>
    </row>
    <row r="33" spans="1:4" x14ac:dyDescent="0.25">
      <c r="A33" s="18" t="s">
        <v>294</v>
      </c>
      <c r="B33" s="21" t="s">
        <v>345</v>
      </c>
      <c r="C33" s="20"/>
      <c r="D33" s="20">
        <v>354</v>
      </c>
    </row>
    <row r="34" spans="1:4" x14ac:dyDescent="0.25">
      <c r="A34" s="18"/>
      <c r="B34" s="13" t="s">
        <v>354</v>
      </c>
      <c r="C34" s="20"/>
      <c r="D34" s="20"/>
    </row>
    <row r="35" spans="1:4" x14ac:dyDescent="0.25">
      <c r="A35" s="18" t="s">
        <v>294</v>
      </c>
      <c r="B35" s="21" t="s">
        <v>345</v>
      </c>
      <c r="C35" s="20">
        <v>354</v>
      </c>
      <c r="D35" s="20"/>
    </row>
    <row r="36" spans="1:4" x14ac:dyDescent="0.25">
      <c r="A36" s="18" t="s">
        <v>258</v>
      </c>
      <c r="B36" s="21" t="s">
        <v>355</v>
      </c>
      <c r="C36" s="20"/>
      <c r="D36" s="20">
        <v>354</v>
      </c>
    </row>
    <row r="38" spans="1:4" ht="21.95" customHeight="1" x14ac:dyDescent="0.25">
      <c r="A38" s="33" t="s">
        <v>356</v>
      </c>
      <c r="B38" s="26"/>
      <c r="C38" s="26"/>
      <c r="D38" s="26"/>
    </row>
    <row r="39" spans="1:4" ht="32.1" customHeight="1" x14ac:dyDescent="0.25">
      <c r="A39" s="25" t="s">
        <v>357</v>
      </c>
      <c r="B39" s="26"/>
      <c r="C39" s="26"/>
      <c r="D39" s="26"/>
    </row>
    <row r="40" spans="1:4" ht="20.100000000000001" customHeight="1" x14ac:dyDescent="0.25">
      <c r="A40" s="19" t="s">
        <v>247</v>
      </c>
      <c r="B40" s="19" t="s">
        <v>248</v>
      </c>
      <c r="C40" s="19" t="s">
        <v>341</v>
      </c>
      <c r="D40" s="19" t="s">
        <v>342</v>
      </c>
    </row>
    <row r="41" spans="1:4" x14ac:dyDescent="0.25">
      <c r="A41" s="18"/>
      <c r="B41" s="13" t="s">
        <v>358</v>
      </c>
      <c r="C41" s="20"/>
      <c r="D41" s="20"/>
    </row>
    <row r="42" spans="1:4" x14ac:dyDescent="0.25">
      <c r="A42" s="18" t="s">
        <v>267</v>
      </c>
      <c r="B42" s="21" t="s">
        <v>359</v>
      </c>
      <c r="C42" s="20">
        <v>2360</v>
      </c>
      <c r="D42" s="20"/>
    </row>
    <row r="43" spans="1:4" x14ac:dyDescent="0.25">
      <c r="A43" s="18" t="s">
        <v>360</v>
      </c>
      <c r="B43" s="21" t="s">
        <v>361</v>
      </c>
      <c r="C43" s="20"/>
      <c r="D43" s="20">
        <v>2000</v>
      </c>
    </row>
    <row r="44" spans="1:4" x14ac:dyDescent="0.25">
      <c r="A44" s="18" t="s">
        <v>277</v>
      </c>
      <c r="B44" s="21" t="s">
        <v>362</v>
      </c>
      <c r="C44" s="20"/>
      <c r="D44" s="20">
        <v>360</v>
      </c>
    </row>
    <row r="45" spans="1:4" x14ac:dyDescent="0.25">
      <c r="A45" s="18"/>
      <c r="B45" s="13" t="s">
        <v>363</v>
      </c>
      <c r="C45" s="20"/>
      <c r="D45" s="20"/>
    </row>
    <row r="46" spans="1:4" x14ac:dyDescent="0.25">
      <c r="A46" s="18" t="s">
        <v>258</v>
      </c>
      <c r="B46" s="21" t="s">
        <v>364</v>
      </c>
      <c r="C46" s="20">
        <v>2124</v>
      </c>
      <c r="D46" s="20"/>
    </row>
    <row r="47" spans="1:4" x14ac:dyDescent="0.25">
      <c r="A47" s="18" t="s">
        <v>365</v>
      </c>
      <c r="B47" s="21" t="s">
        <v>262</v>
      </c>
      <c r="C47" s="20">
        <v>236</v>
      </c>
      <c r="D47" s="20"/>
    </row>
    <row r="48" spans="1:4" x14ac:dyDescent="0.25">
      <c r="A48" s="18" t="s">
        <v>267</v>
      </c>
      <c r="B48" s="21" t="s">
        <v>359</v>
      </c>
      <c r="C48" s="20"/>
      <c r="D48" s="20">
        <v>2360</v>
      </c>
    </row>
  </sheetData>
  <mergeCells count="10">
    <mergeCell ref="A39:D39"/>
    <mergeCell ref="A29:D29"/>
    <mergeCell ref="A2:D2"/>
    <mergeCell ref="A16:D16"/>
    <mergeCell ref="A28:D28"/>
    <mergeCell ref="A1:D1"/>
    <mergeCell ref="A5:D5"/>
    <mergeCell ref="A17:D17"/>
    <mergeCell ref="A4:D4"/>
    <mergeCell ref="A38:D38"/>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7"/>
  <sheetViews>
    <sheetView showGridLines="0" workbookViewId="0">
      <pane ySplit="3" topLeftCell="A4" activePane="bottomLeft" state="frozen"/>
      <selection pane="bottomLeft" sqref="A1:B1"/>
    </sheetView>
  </sheetViews>
  <sheetFormatPr baseColWidth="10" defaultColWidth="9.140625" defaultRowHeight="15" x14ac:dyDescent="0.25"/>
  <cols>
    <col min="1" max="1" width="34" customWidth="1"/>
    <col min="2" max="2" width="90" customWidth="1"/>
  </cols>
  <sheetData>
    <row r="1" spans="1:2" ht="26.1" customHeight="1" x14ac:dyDescent="0.25">
      <c r="A1" s="30" t="s">
        <v>366</v>
      </c>
      <c r="B1" s="29"/>
    </row>
    <row r="2" spans="1:2" ht="18" customHeight="1" x14ac:dyDescent="0.25">
      <c r="A2" s="28" t="s">
        <v>367</v>
      </c>
      <c r="B2" s="29"/>
    </row>
    <row r="4" spans="1:2" ht="56.1" customHeight="1" x14ac:dyDescent="0.25">
      <c r="A4" s="22" t="s">
        <v>368</v>
      </c>
      <c r="B4" s="2" t="s">
        <v>369</v>
      </c>
    </row>
    <row r="5" spans="1:2" ht="56.1" customHeight="1" x14ac:dyDescent="0.25">
      <c r="A5" s="22" t="s">
        <v>370</v>
      </c>
      <c r="B5" s="2" t="s">
        <v>371</v>
      </c>
    </row>
    <row r="6" spans="1:2" ht="69.95" customHeight="1" x14ac:dyDescent="0.25">
      <c r="A6" s="22" t="s">
        <v>372</v>
      </c>
      <c r="B6" s="2" t="s">
        <v>373</v>
      </c>
    </row>
    <row r="7" spans="1:2" ht="69.95" customHeight="1" x14ac:dyDescent="0.25">
      <c r="A7" s="22" t="s">
        <v>374</v>
      </c>
      <c r="B7" s="2" t="s">
        <v>375</v>
      </c>
    </row>
    <row r="8" spans="1:2" ht="56.1" customHeight="1" x14ac:dyDescent="0.25">
      <c r="A8" s="22" t="s">
        <v>376</v>
      </c>
      <c r="B8" s="2" t="s">
        <v>377</v>
      </c>
    </row>
    <row r="9" spans="1:2" ht="30" customHeight="1" x14ac:dyDescent="0.25">
      <c r="A9" s="22" t="s">
        <v>378</v>
      </c>
      <c r="B9" s="2" t="s">
        <v>379</v>
      </c>
    </row>
    <row r="10" spans="1:2" ht="69.95" customHeight="1" x14ac:dyDescent="0.25">
      <c r="A10" s="22" t="s">
        <v>380</v>
      </c>
      <c r="B10" s="2" t="s">
        <v>381</v>
      </c>
    </row>
    <row r="11" spans="1:2" ht="69.95" customHeight="1" x14ac:dyDescent="0.25">
      <c r="A11" s="22" t="s">
        <v>382</v>
      </c>
      <c r="B11" s="2" t="s">
        <v>383</v>
      </c>
    </row>
    <row r="12" spans="1:2" ht="69.95" customHeight="1" x14ac:dyDescent="0.25">
      <c r="A12" s="22" t="s">
        <v>384</v>
      </c>
      <c r="B12" s="2" t="s">
        <v>385</v>
      </c>
    </row>
    <row r="13" spans="1:2" ht="84" customHeight="1" x14ac:dyDescent="0.25">
      <c r="A13" s="22" t="s">
        <v>386</v>
      </c>
      <c r="B13" s="2" t="s">
        <v>387</v>
      </c>
    </row>
    <row r="14" spans="1:2" ht="84" customHeight="1" x14ac:dyDescent="0.25">
      <c r="A14" s="22" t="s">
        <v>388</v>
      </c>
      <c r="B14" s="2" t="s">
        <v>389</v>
      </c>
    </row>
    <row r="15" spans="1:2" ht="69.95" customHeight="1" x14ac:dyDescent="0.25">
      <c r="A15" s="22" t="s">
        <v>390</v>
      </c>
      <c r="B15" s="2" t="s">
        <v>391</v>
      </c>
    </row>
    <row r="17" spans="1:2" ht="54.95" customHeight="1" x14ac:dyDescent="0.25">
      <c r="A17" s="31" t="s">
        <v>392</v>
      </c>
      <c r="B17" s="26"/>
    </row>
  </sheetData>
  <mergeCells count="3">
    <mergeCell ref="A2:B2"/>
    <mergeCell ref="A1:B1"/>
    <mergeCell ref="A17:B1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Resumen Empresa</vt:lpstr>
      <vt:lpstr>Guía Detracciones</vt:lpstr>
      <vt:lpstr>Categorías y Tasas</vt:lpstr>
      <vt:lpstr>Checklist Diario Facturas</vt:lpstr>
      <vt:lpstr>Plan de Cuentas PCGE</vt:lpstr>
      <vt:lpstr>Asientos Tipo</vt:lpstr>
      <vt:lpstr>Contexto Tributario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ventas braidy wonders</cp:lastModifiedBy>
  <dcterms:created xsi:type="dcterms:W3CDTF">2026-08-20T17:14:12Z</dcterms:created>
  <dcterms:modified xsi:type="dcterms:W3CDTF">2026-08-20T20:42:08Z</dcterms:modified>
</cp:coreProperties>
</file>